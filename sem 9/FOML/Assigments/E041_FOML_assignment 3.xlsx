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D22C4A7-9B63-478B-8B53-1CCF65CCB414}" xr6:coauthVersionLast="47" xr6:coauthVersionMax="47" xr10:uidLastSave="{00000000-0000-0000-0000-000000000000}"/>
  <bookViews>
    <workbookView xWindow="-108" yWindow="-108" windowWidth="23256" windowHeight="12456" activeTab="1" xr2:uid="{3408EB1C-708C-420B-8641-4E8F6E403E6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R25" i="2" l="1"/>
  <c r="AS23" i="2"/>
  <c r="AT23" i="2"/>
  <c r="AU23" i="2"/>
  <c r="AV23" i="2"/>
  <c r="AR23" i="2"/>
  <c r="C26" i="1"/>
  <c r="AS16" i="2"/>
  <c r="AT16" i="2"/>
  <c r="AU16" i="2"/>
  <c r="AV16" i="2"/>
  <c r="AR16" i="2"/>
  <c r="AK16" i="2" a="1"/>
  <c r="AG17" i="2"/>
  <c r="AG18" i="2"/>
  <c r="AF17" i="2"/>
  <c r="AF18" i="2"/>
  <c r="AE17" i="2"/>
  <c r="AE18" i="2"/>
  <c r="AD17" i="2"/>
  <c r="AD18" i="2"/>
  <c r="AD16" i="2"/>
  <c r="AE16" i="2"/>
  <c r="AF16" i="2"/>
  <c r="AG16" i="2"/>
  <c r="AC17" i="2"/>
  <c r="AC18" i="2"/>
  <c r="AC16" i="2"/>
  <c r="V16" i="2" a="1"/>
  <c r="R17" i="2"/>
  <c r="R18" i="2"/>
  <c r="R19" i="2"/>
  <c r="Q17" i="2"/>
  <c r="Q18" i="2"/>
  <c r="Q19" i="2"/>
  <c r="P17" i="2"/>
  <c r="P18" i="2"/>
  <c r="P19" i="2"/>
  <c r="O17" i="2"/>
  <c r="O18" i="2"/>
  <c r="O19" i="2"/>
  <c r="O16" i="2"/>
  <c r="P16" i="2"/>
  <c r="Q16" i="2"/>
  <c r="R16" i="2"/>
  <c r="N17" i="2"/>
  <c r="N18" i="2"/>
  <c r="N19" i="2"/>
  <c r="N16" i="2"/>
  <c r="F16" i="2" a="1"/>
  <c r="N12" i="1"/>
  <c r="O12" i="1"/>
  <c r="M12" i="1"/>
  <c r="I12" i="1" a="1"/>
  <c r="AK16" i="2" l="1"/>
  <c r="AL16" i="2"/>
  <c r="AN16" i="2"/>
  <c r="AO16" i="2"/>
  <c r="AM16" i="2"/>
  <c r="V16" i="2"/>
  <c r="Y16" i="2"/>
  <c r="V17" i="2"/>
  <c r="W17" i="2"/>
  <c r="X17" i="2"/>
  <c r="Y17" i="2"/>
  <c r="Z17" i="2"/>
  <c r="V18" i="2"/>
  <c r="W18" i="2"/>
  <c r="X18" i="2"/>
  <c r="Y18" i="2"/>
  <c r="Z18" i="2"/>
  <c r="Z16" i="2"/>
  <c r="X16" i="2"/>
  <c r="W16" i="2"/>
  <c r="F16" i="2"/>
  <c r="I16" i="2"/>
  <c r="J16" i="2"/>
  <c r="F17" i="2"/>
  <c r="G17" i="2"/>
  <c r="H17" i="2"/>
  <c r="I17" i="2"/>
  <c r="J17" i="2"/>
  <c r="F18" i="2"/>
  <c r="G18" i="2"/>
  <c r="H18" i="2"/>
  <c r="I18" i="2"/>
  <c r="J18" i="2"/>
  <c r="F19" i="2"/>
  <c r="G19" i="2"/>
  <c r="H19" i="2"/>
  <c r="I19" i="2"/>
  <c r="J19" i="2"/>
  <c r="H16" i="2"/>
  <c r="G16" i="2"/>
  <c r="J12" i="1"/>
  <c r="D12" i="1" s="1"/>
  <c r="I13" i="1"/>
  <c r="C13" i="1" s="1"/>
  <c r="J13" i="1"/>
  <c r="D13" i="1" s="1"/>
  <c r="K13" i="1"/>
  <c r="E13" i="1" s="1"/>
  <c r="I14" i="1"/>
  <c r="C14" i="1" s="1"/>
  <c r="K14" i="1"/>
  <c r="E14" i="1" s="1"/>
  <c r="J15" i="1"/>
  <c r="D15" i="1" s="1"/>
  <c r="K12" i="1"/>
  <c r="E12" i="1" s="1"/>
  <c r="J14" i="1"/>
  <c r="D14" i="1" s="1"/>
  <c r="I15" i="1"/>
  <c r="C15" i="1" s="1"/>
  <c r="K15" i="1"/>
  <c r="E15" i="1" s="1"/>
  <c r="I12" i="1"/>
  <c r="C12" i="1" s="1"/>
  <c r="I20" i="1" s="1" a="1"/>
  <c r="K20" i="1" l="1"/>
  <c r="E20" i="1" s="1"/>
  <c r="E26" i="1" s="1"/>
  <c r="J20" i="1"/>
  <c r="D20" i="1" s="1"/>
  <c r="D26" i="1" s="1"/>
  <c r="I20" i="1"/>
  <c r="C20" i="1" s="1"/>
  <c r="C27" i="1" s="1"/>
</calcChain>
</file>

<file path=xl/sharedStrings.xml><?xml version="1.0" encoding="utf-8"?>
<sst xmlns="http://schemas.openxmlformats.org/spreadsheetml/2006/main" count="88" uniqueCount="68">
  <si>
    <t>One hidden layer and 1 output layer</t>
  </si>
  <si>
    <t>features</t>
  </si>
  <si>
    <t>hidden layers nodes</t>
  </si>
  <si>
    <t>training examples</t>
  </si>
  <si>
    <t>output layer</t>
  </si>
  <si>
    <t>X(n_x,m)</t>
  </si>
  <si>
    <t>(nx,m)</t>
  </si>
  <si>
    <t>(2,3)</t>
  </si>
  <si>
    <t>Y</t>
  </si>
  <si>
    <t>W1</t>
  </si>
  <si>
    <t>(4x2)</t>
  </si>
  <si>
    <t>b1</t>
  </si>
  <si>
    <t>(4x1)</t>
  </si>
  <si>
    <t>Sirs values</t>
  </si>
  <si>
    <t>Z=</t>
  </si>
  <si>
    <t>(n1,m)</t>
  </si>
  <si>
    <t>(4X3)</t>
  </si>
  <si>
    <t>X1</t>
  </si>
  <si>
    <t>X2</t>
  </si>
  <si>
    <t>a=sigmoid(Z)</t>
  </si>
  <si>
    <t>learning rate</t>
  </si>
  <si>
    <t>Layers</t>
  </si>
  <si>
    <t>Nodes</t>
  </si>
  <si>
    <t>activation function</t>
  </si>
  <si>
    <t>Important inputs</t>
  </si>
  <si>
    <t>a=</t>
  </si>
  <si>
    <t>node1</t>
  </si>
  <si>
    <t>node2</t>
  </si>
  <si>
    <t>node3</t>
  </si>
  <si>
    <t>node4</t>
  </si>
  <si>
    <t>Z[2]=W[2]*a[1]+b[2]</t>
  </si>
  <si>
    <t>Z[2]=W[1]X+b[1]</t>
  </si>
  <si>
    <t>W2</t>
  </si>
  <si>
    <t>Z[2]=</t>
  </si>
  <si>
    <t>b2</t>
  </si>
  <si>
    <t>(1X4)</t>
  </si>
  <si>
    <t>(1X1)</t>
  </si>
  <si>
    <t>(n2,m)</t>
  </si>
  <si>
    <t>(1X3)</t>
  </si>
  <si>
    <t>a[2]=sigmoid(Z[2])</t>
  </si>
  <si>
    <t>a[2]=</t>
  </si>
  <si>
    <t>(1,m)</t>
  </si>
  <si>
    <t>cost 1</t>
  </si>
  <si>
    <t>l1</t>
  </si>
  <si>
    <t>l2</t>
  </si>
  <si>
    <t>l3</t>
  </si>
  <si>
    <t>hidden layers node1</t>
  </si>
  <si>
    <t>X3</t>
  </si>
  <si>
    <t>X4</t>
  </si>
  <si>
    <t>X</t>
  </si>
  <si>
    <t>(4X5)</t>
  </si>
  <si>
    <t>(4X4)</t>
  </si>
  <si>
    <t>B1</t>
  </si>
  <si>
    <t>Z1</t>
  </si>
  <si>
    <t>B2</t>
  </si>
  <si>
    <t>Z2</t>
  </si>
  <si>
    <t>(3X4)</t>
  </si>
  <si>
    <t>W3</t>
  </si>
  <si>
    <t>b3</t>
  </si>
  <si>
    <t>a2=</t>
  </si>
  <si>
    <t>z3</t>
  </si>
  <si>
    <t>(3X5)</t>
  </si>
  <si>
    <t>a3</t>
  </si>
  <si>
    <t>l4</t>
  </si>
  <si>
    <t>l5</t>
  </si>
  <si>
    <t>(3X1)</t>
  </si>
  <si>
    <t>(4X1)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</si>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</sst>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4" xfId="0" applyBorder="1"/>
    <xf numFmtId="0" fontId="0" fillId="2" borderId="0" xfId="0" applyFill="1"/>
    <xf numFmtId="0" fontId="0" fillId="0" borderId="6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0" xfId="0" applyFill="1"/>
    <xf numFmtId="0" fontId="0" fillId="3" borderId="1" xfId="0" applyFill="1" applyBorder="1"/>
    <xf numFmtId="0" fontId="0" fillId="4" borderId="0" xfId="0" applyFill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CAE2D-8910-48F6-AB8B-2FA80963D9DA}">
  <dimension ref="A1:T27"/>
  <sheetViews>
    <sheetView topLeftCell="B1" zoomScale="167" workbookViewId="0">
      <selection activeCell="I3" sqref="I3"/>
    </sheetView>
  </sheetViews>
  <sheetFormatPr defaultRowHeight="14.4" x14ac:dyDescent="0.3"/>
  <cols>
    <col min="1" max="1" width="30.33203125" bestFit="1" customWidth="1"/>
    <col min="2" max="2" width="15.88671875" bestFit="1" customWidth="1"/>
    <col min="8" max="8" width="17.21875" bestFit="1" customWidth="1"/>
  </cols>
  <sheetData>
    <row r="1" spans="1:20" x14ac:dyDescent="0.3">
      <c r="A1" s="1" t="s">
        <v>0</v>
      </c>
      <c r="B1" s="1"/>
      <c r="D1" s="6" t="s">
        <v>5</v>
      </c>
      <c r="E1" s="7"/>
      <c r="F1" s="8"/>
      <c r="O1" s="9" t="s">
        <v>13</v>
      </c>
      <c r="P1" s="9"/>
      <c r="Q1" s="9"/>
    </row>
    <row r="2" spans="1:20" x14ac:dyDescent="0.3">
      <c r="A2" s="1" t="s">
        <v>1</v>
      </c>
      <c r="B2" s="1">
        <v>2</v>
      </c>
      <c r="C2" t="s">
        <v>17</v>
      </c>
      <c r="D2" s="1">
        <v>4</v>
      </c>
      <c r="E2" s="1">
        <v>5</v>
      </c>
      <c r="F2" s="1">
        <v>9</v>
      </c>
      <c r="I2" s="5" t="s">
        <v>9</v>
      </c>
      <c r="J2" s="5"/>
      <c r="L2" s="1" t="s">
        <v>11</v>
      </c>
      <c r="O2" s="1">
        <v>1.6243449999999999</v>
      </c>
      <c r="P2" s="1">
        <v>-0.61175999999999997</v>
      </c>
      <c r="Q2" s="1">
        <v>-0.52817000000000003</v>
      </c>
    </row>
    <row r="3" spans="1:20" x14ac:dyDescent="0.3">
      <c r="A3" s="1" t="s">
        <v>2</v>
      </c>
      <c r="B3" s="1">
        <v>4</v>
      </c>
      <c r="C3" t="s">
        <v>18</v>
      </c>
      <c r="D3" s="1">
        <v>0.8</v>
      </c>
      <c r="E3" s="1">
        <v>1.8</v>
      </c>
      <c r="F3" s="1">
        <v>0.5</v>
      </c>
      <c r="I3" s="1">
        <v>0.13843176414080716</v>
      </c>
      <c r="J3" s="1">
        <v>0.50817538677314555</v>
      </c>
      <c r="L3" s="1">
        <v>8.6701798639339356E-2</v>
      </c>
      <c r="O3" s="1">
        <v>-1.07297</v>
      </c>
      <c r="P3" s="1">
        <v>0.86540799999999996</v>
      </c>
      <c r="Q3" s="1">
        <v>-2.3015400000000001</v>
      </c>
    </row>
    <row r="4" spans="1:20" x14ac:dyDescent="0.3">
      <c r="A4" s="1" t="s">
        <v>4</v>
      </c>
      <c r="B4" s="1">
        <v>1</v>
      </c>
      <c r="D4" s="1"/>
      <c r="E4" s="1"/>
      <c r="F4" s="1" t="s">
        <v>6</v>
      </c>
      <c r="I4" s="1">
        <v>0.51661402754738384</v>
      </c>
      <c r="J4" s="1">
        <v>0.59391715727434868</v>
      </c>
      <c r="L4" s="1">
        <v>0.85681547161168314</v>
      </c>
    </row>
    <row r="5" spans="1:20" x14ac:dyDescent="0.3">
      <c r="A5" s="1" t="s">
        <v>3</v>
      </c>
      <c r="B5" s="1">
        <v>3</v>
      </c>
      <c r="D5" s="1"/>
      <c r="E5" s="1"/>
      <c r="F5" s="1" t="s">
        <v>7</v>
      </c>
      <c r="I5" s="1">
        <v>0.2974474429618803</v>
      </c>
      <c r="J5" s="1">
        <v>9.2400682664218747E-2</v>
      </c>
      <c r="L5" s="1">
        <v>0.40654115034785876</v>
      </c>
      <c r="O5" s="5" t="s">
        <v>32</v>
      </c>
      <c r="P5" s="5"/>
      <c r="Q5" s="5"/>
      <c r="R5" s="5"/>
      <c r="T5" s="1" t="s">
        <v>34</v>
      </c>
    </row>
    <row r="6" spans="1:20" x14ac:dyDescent="0.3">
      <c r="I6" s="1">
        <v>0.99037284745362342</v>
      </c>
      <c r="J6" s="1">
        <v>0.66538082645597396</v>
      </c>
      <c r="L6" s="1">
        <v>0.12443767437404929</v>
      </c>
      <c r="O6" s="1">
        <v>0.60226660842517243</v>
      </c>
      <c r="P6" s="1">
        <v>0.41471648347374246</v>
      </c>
      <c r="Q6" s="1">
        <v>1.2222771822639866E-2</v>
      </c>
      <c r="R6" s="1">
        <v>0.23966230307290648</v>
      </c>
      <c r="T6" s="1">
        <v>0.76664969534350369</v>
      </c>
    </row>
    <row r="7" spans="1:20" x14ac:dyDescent="0.3">
      <c r="I7" s="1">
        <v>0.17352362431848034</v>
      </c>
      <c r="J7" s="1">
        <v>0.39163878646626171</v>
      </c>
      <c r="L7" s="1">
        <v>0.16586110421142841</v>
      </c>
      <c r="R7" t="s">
        <v>35</v>
      </c>
      <c r="T7" t="s">
        <v>36</v>
      </c>
    </row>
    <row r="8" spans="1:20" x14ac:dyDescent="0.3">
      <c r="D8" s="5" t="s">
        <v>8</v>
      </c>
      <c r="E8" s="5"/>
      <c r="F8" s="5"/>
      <c r="I8" s="1"/>
      <c r="J8" s="1" t="s">
        <v>10</v>
      </c>
      <c r="L8" s="1" t="s">
        <v>12</v>
      </c>
    </row>
    <row r="9" spans="1:20" x14ac:dyDescent="0.3">
      <c r="D9" s="1">
        <v>1</v>
      </c>
      <c r="E9" s="1">
        <v>0</v>
      </c>
      <c r="F9" s="1">
        <v>1</v>
      </c>
    </row>
    <row r="11" spans="1:20" x14ac:dyDescent="0.3">
      <c r="A11" t="s">
        <v>24</v>
      </c>
      <c r="B11" s="1" t="s">
        <v>19</v>
      </c>
      <c r="H11" s="1" t="s">
        <v>31</v>
      </c>
    </row>
    <row r="12" spans="1:20" x14ac:dyDescent="0.3">
      <c r="A12" t="s">
        <v>20</v>
      </c>
      <c r="B12" s="1" t="s">
        <v>25</v>
      </c>
      <c r="C12" s="1">
        <f t="shared" ref="C12:E15" si="0">(1/(1+EXP(-I12)))</f>
        <v>0.74019247101869245</v>
      </c>
      <c r="D12" s="1">
        <f t="shared" si="0"/>
        <v>0.84469390138071598</v>
      </c>
      <c r="E12" s="1">
        <f t="shared" si="0"/>
        <v>0.83014783654702484</v>
      </c>
      <c r="F12" t="s">
        <v>26</v>
      </c>
      <c r="H12" s="1" t="s">
        <v>14</v>
      </c>
      <c r="I12" s="2">
        <f t="array" ref="I12:K15">MMULT(I3:J7,D2:F3)+L3:L7</f>
        <v>1.0469691646210846</v>
      </c>
      <c r="J12" s="1">
        <v>1.693576315535037</v>
      </c>
      <c r="K12" s="1">
        <v>1.5866753692931765</v>
      </c>
      <c r="M12" s="3">
        <f>$I$3*D2+$J$3*D3+$L$3</f>
        <v>1.0469691646210846</v>
      </c>
      <c r="N12" s="3">
        <f>$I$3*E2+$J$3*E3+$L$3</f>
        <v>1.693576315535037</v>
      </c>
      <c r="O12" s="3">
        <f>$I$3*F2+$J$3*F3+$L$3</f>
        <v>1.5866753692931765</v>
      </c>
    </row>
    <row r="13" spans="1:20" x14ac:dyDescent="0.3">
      <c r="A13" t="s">
        <v>21</v>
      </c>
      <c r="C13" s="1">
        <f t="shared" si="0"/>
        <v>0.96765466004090328</v>
      </c>
      <c r="D13" s="1">
        <f t="shared" si="0"/>
        <v>0.98910974019586972</v>
      </c>
      <c r="E13" s="1">
        <f t="shared" si="0"/>
        <v>0.99699149900869644</v>
      </c>
      <c r="F13" t="s">
        <v>27</v>
      </c>
      <c r="I13" s="1">
        <v>3.3984053076206973</v>
      </c>
      <c r="J13" s="1">
        <v>4.5089364924424302</v>
      </c>
      <c r="K13" s="1">
        <v>5.8033002981753121</v>
      </c>
    </row>
    <row r="14" spans="1:20" x14ac:dyDescent="0.3">
      <c r="A14" t="s">
        <v>22</v>
      </c>
      <c r="C14" s="1">
        <f t="shared" si="0"/>
        <v>0.84160934553094702</v>
      </c>
      <c r="D14" s="1">
        <f t="shared" si="0"/>
        <v>0.88696415547721008</v>
      </c>
      <c r="E14" s="1">
        <f t="shared" si="0"/>
        <v>0.95810410050168016</v>
      </c>
      <c r="F14" t="s">
        <v>28</v>
      </c>
      <c r="I14" s="1">
        <v>1.6702514683267551</v>
      </c>
      <c r="J14" s="1">
        <v>2.0600995939528541</v>
      </c>
      <c r="K14" s="1">
        <v>3.1297684783368913</v>
      </c>
    </row>
    <row r="15" spans="1:20" x14ac:dyDescent="0.3">
      <c r="A15" t="s">
        <v>23</v>
      </c>
      <c r="C15" s="1">
        <f t="shared" si="0"/>
        <v>0.99022625477560178</v>
      </c>
      <c r="D15" s="1">
        <f t="shared" si="0"/>
        <v>0.99811884687156205</v>
      </c>
      <c r="E15" s="1">
        <f t="shared" si="0"/>
        <v>0.9999148050938782</v>
      </c>
      <c r="F15" t="s">
        <v>29</v>
      </c>
      <c r="I15" s="1">
        <v>4.6182337253533223</v>
      </c>
      <c r="J15" s="1">
        <v>6.2739873992629196</v>
      </c>
      <c r="K15" s="1">
        <v>9.3704837146846458</v>
      </c>
    </row>
    <row r="16" spans="1:20" x14ac:dyDescent="0.3">
      <c r="E16" s="4" t="s">
        <v>15</v>
      </c>
      <c r="K16" s="1" t="s">
        <v>15</v>
      </c>
    </row>
    <row r="17" spans="2:11" x14ac:dyDescent="0.3">
      <c r="E17" s="1" t="s">
        <v>16</v>
      </c>
      <c r="K17" t="s">
        <v>16</v>
      </c>
    </row>
    <row r="19" spans="2:11" x14ac:dyDescent="0.3">
      <c r="B19" s="1" t="s">
        <v>39</v>
      </c>
      <c r="H19" t="s">
        <v>30</v>
      </c>
    </row>
    <row r="20" spans="2:11" x14ac:dyDescent="0.3">
      <c r="B20" s="1" t="s">
        <v>40</v>
      </c>
      <c r="C20" s="1">
        <f>(1/(1+EXP(-I20)))</f>
        <v>0.86545445055636594</v>
      </c>
      <c r="D20" s="1">
        <f t="shared" ref="D20:E20" si="1">(1/(1+EXP(-J20)))</f>
        <v>0.87387163784560162</v>
      </c>
      <c r="E20" s="1">
        <f t="shared" si="1"/>
        <v>0.87340887509639042</v>
      </c>
      <c r="H20" t="s">
        <v>33</v>
      </c>
      <c r="I20">
        <f t="array" ref="I20:K20">MMULT(O6:R6,C12:E15)+T6</f>
        <v>1.8613519460519279</v>
      </c>
      <c r="J20">
        <v>1.9356333617781232</v>
      </c>
      <c r="K20">
        <v>1.9314413987425394</v>
      </c>
    </row>
    <row r="21" spans="2:11" x14ac:dyDescent="0.3">
      <c r="E21" t="s">
        <v>41</v>
      </c>
      <c r="K21" t="s">
        <v>37</v>
      </c>
    </row>
    <row r="22" spans="2:11" x14ac:dyDescent="0.3">
      <c r="E22" t="s">
        <v>38</v>
      </c>
      <c r="K22" t="s">
        <v>38</v>
      </c>
    </row>
    <row r="25" spans="2:11" x14ac:dyDescent="0.3">
      <c r="C25" t="s">
        <v>43</v>
      </c>
      <c r="D25" t="s">
        <v>44</v>
      </c>
      <c r="E25" t="s">
        <v>45</v>
      </c>
    </row>
    <row r="26" spans="2:11" x14ac:dyDescent="0.3">
      <c r="C26">
        <f>-((D9*LN(C20))+((1-D9)*LN(1-C20)))</f>
        <v>0.14450053364636045</v>
      </c>
      <c r="D26">
        <f>-((E9*LN(D20))+((1-E9)*LN(1-D20)))</f>
        <v>2.070455143344351</v>
      </c>
      <c r="E26">
        <f>-((F9*LN(E20))+((1-F9)*LN(1-E20)))</f>
        <v>0.1353514764338842</v>
      </c>
    </row>
    <row r="27" spans="2:11" x14ac:dyDescent="0.3">
      <c r="B27" t="s">
        <v>42</v>
      </c>
      <c r="C27">
        <f>AVERAGE(C26:E26)</f>
        <v>0.78343571780819854</v>
      </c>
    </row>
  </sheetData>
  <mergeCells count="5">
    <mergeCell ref="D1:F1"/>
    <mergeCell ref="D8:F8"/>
    <mergeCell ref="I2:J2"/>
    <mergeCell ref="O1:Q1"/>
    <mergeCell ref="O5:R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DFA42-F615-49B6-87A6-A4E848E23809}">
  <dimension ref="A1:AV25"/>
  <sheetViews>
    <sheetView tabSelected="1" topLeftCell="T1" workbookViewId="0">
      <selection activeCell="AC7" sqref="AC7"/>
    </sheetView>
  </sheetViews>
  <sheetFormatPr defaultRowHeight="14.4" x14ac:dyDescent="0.3"/>
  <cols>
    <col min="1" max="1" width="29.109375" bestFit="1" customWidth="1"/>
  </cols>
  <sheetData>
    <row r="1" spans="1:48" x14ac:dyDescent="0.3">
      <c r="A1" s="1" t="s">
        <v>0</v>
      </c>
      <c r="B1" s="1"/>
      <c r="E1" s="5" t="s">
        <v>49</v>
      </c>
      <c r="F1" s="5"/>
      <c r="G1" s="5"/>
      <c r="H1" s="5"/>
      <c r="I1" s="5"/>
      <c r="J1" s="5"/>
      <c r="M1" s="5" t="s">
        <v>9</v>
      </c>
      <c r="N1" s="5"/>
      <c r="O1" s="5"/>
      <c r="P1" s="5"/>
      <c r="R1" s="1" t="s">
        <v>52</v>
      </c>
      <c r="U1" s="14" t="s">
        <v>32</v>
      </c>
      <c r="V1" s="14"/>
      <c r="W1" s="14"/>
      <c r="X1" s="14"/>
      <c r="Y1" s="15"/>
      <c r="Z1" s="16" t="s">
        <v>54</v>
      </c>
      <c r="AB1" s="5" t="s">
        <v>57</v>
      </c>
      <c r="AC1" s="5"/>
      <c r="AD1" s="5"/>
      <c r="AF1" s="1" t="s">
        <v>58</v>
      </c>
    </row>
    <row r="2" spans="1:48" x14ac:dyDescent="0.3">
      <c r="A2" s="1" t="s">
        <v>1</v>
      </c>
      <c r="B2" s="1">
        <v>4</v>
      </c>
      <c r="E2" s="10" t="s">
        <v>17</v>
      </c>
      <c r="F2" s="10">
        <v>0.93979336695552085</v>
      </c>
      <c r="G2" s="10">
        <v>0.97679978968503678</v>
      </c>
      <c r="H2" s="10">
        <v>0.77572380869916147</v>
      </c>
      <c r="I2" s="10">
        <v>0.87173557150924696</v>
      </c>
      <c r="J2" s="10">
        <v>0.90538412120639455</v>
      </c>
      <c r="M2" s="10">
        <v>0.9768422747467983</v>
      </c>
      <c r="N2" s="10">
        <v>0.39950228527712384</v>
      </c>
      <c r="O2" s="10">
        <v>0.46120040069644941</v>
      </c>
      <c r="P2" s="10">
        <v>0.83685180640447543</v>
      </c>
      <c r="R2" s="1">
        <v>0.51419081633870467</v>
      </c>
      <c r="U2" s="16">
        <v>0.54129473106260106</v>
      </c>
      <c r="V2" s="16">
        <v>0.26652428715387899</v>
      </c>
      <c r="W2" s="16">
        <v>6.0961774168075022E-2</v>
      </c>
      <c r="X2" s="16">
        <v>6.2271964484753806E-2</v>
      </c>
      <c r="Y2" s="15"/>
      <c r="Z2" s="16">
        <v>0.85090422006777233</v>
      </c>
      <c r="AB2" s="1">
        <v>0.27139004095057084</v>
      </c>
      <c r="AC2" s="1">
        <v>5.3443718190003708E-2</v>
      </c>
      <c r="AD2" s="1">
        <v>0.41438163529884786</v>
      </c>
      <c r="AF2" s="1">
        <v>0.4670944150691686</v>
      </c>
    </row>
    <row r="3" spans="1:48" x14ac:dyDescent="0.3">
      <c r="A3" s="1" t="s">
        <v>46</v>
      </c>
      <c r="B3" s="1">
        <v>4</v>
      </c>
      <c r="E3" s="10" t="s">
        <v>18</v>
      </c>
      <c r="F3" s="10">
        <v>0.95825755754211039</v>
      </c>
      <c r="G3" s="10">
        <v>0.75396627489305335</v>
      </c>
      <c r="H3" s="10">
        <v>0.84824152025944033</v>
      </c>
      <c r="I3" s="10">
        <v>0.64653344748846675</v>
      </c>
      <c r="J3" s="10">
        <v>0.11549221305576596</v>
      </c>
      <c r="M3" s="10">
        <v>0.88362404874191947</v>
      </c>
      <c r="N3" s="10">
        <v>0.30600226755954174</v>
      </c>
      <c r="O3" s="10">
        <v>0.75472299812619825</v>
      </c>
      <c r="P3" s="10">
        <v>9.1224761814300281E-2</v>
      </c>
      <c r="R3" s="1">
        <v>0.25497720276459201</v>
      </c>
      <c r="U3" s="16">
        <v>0.85078408860197319</v>
      </c>
      <c r="V3" s="16">
        <v>0.54764578203610004</v>
      </c>
      <c r="W3" s="16">
        <v>0.5608838987804583</v>
      </c>
      <c r="X3" s="16">
        <v>0.70231990269873168</v>
      </c>
      <c r="Y3" s="15"/>
      <c r="Z3" s="16">
        <v>0.38170023573681178</v>
      </c>
      <c r="AD3" t="s">
        <v>38</v>
      </c>
    </row>
    <row r="4" spans="1:48" x14ac:dyDescent="0.3">
      <c r="A4" s="1" t="s">
        <v>46</v>
      </c>
      <c r="B4" s="1">
        <v>3</v>
      </c>
      <c r="E4" s="10" t="s">
        <v>47</v>
      </c>
      <c r="F4" s="10">
        <v>0.5844286191601763</v>
      </c>
      <c r="G4" s="10">
        <v>0.38194063612348406</v>
      </c>
      <c r="H4" s="10">
        <v>1.0496557338345425E-2</v>
      </c>
      <c r="I4" s="10">
        <v>0.91506703633947162</v>
      </c>
      <c r="J4" s="10">
        <v>0.13152572642372928</v>
      </c>
      <c r="M4" s="10">
        <v>0.7893359096064263</v>
      </c>
      <c r="N4" s="10">
        <v>0.95232186160786092</v>
      </c>
      <c r="O4" s="10">
        <v>0.72608151229321549</v>
      </c>
      <c r="P4" s="10">
        <v>0.42440922777549639</v>
      </c>
      <c r="R4" s="1">
        <v>0.54474002886457495</v>
      </c>
      <c r="U4" s="16">
        <v>4.4821424852004133E-2</v>
      </c>
      <c r="V4" s="16">
        <v>0.34347517010757378</v>
      </c>
      <c r="W4" s="16">
        <v>6.4291330409899206E-2</v>
      </c>
      <c r="X4" s="16">
        <v>0.25525088531564744</v>
      </c>
      <c r="Y4" s="15"/>
      <c r="Z4" s="16">
        <v>0.9092085258765743</v>
      </c>
    </row>
    <row r="5" spans="1:48" x14ac:dyDescent="0.3">
      <c r="A5" s="1" t="s">
        <v>4</v>
      </c>
      <c r="B5" s="1">
        <v>1</v>
      </c>
      <c r="E5" s="10" t="s">
        <v>48</v>
      </c>
      <c r="F5" s="10">
        <v>0.76241237501107972</v>
      </c>
      <c r="G5" s="10">
        <v>0.74469138123434953</v>
      </c>
      <c r="H5" s="10">
        <v>0.41381796572558049</v>
      </c>
      <c r="I5" s="10">
        <v>0.49440577463017266</v>
      </c>
      <c r="J5" s="10">
        <v>0.82964440905316117</v>
      </c>
      <c r="M5" s="10">
        <v>0.23147532896806544</v>
      </c>
      <c r="N5" s="10">
        <v>0.76462378698175526</v>
      </c>
      <c r="O5" s="10">
        <v>0.38134985543009703</v>
      </c>
      <c r="P5" s="10">
        <v>0.99706378178268285</v>
      </c>
      <c r="R5" s="1">
        <v>0.64331110787824575</v>
      </c>
      <c r="U5" s="15"/>
      <c r="V5" s="15"/>
      <c r="W5" s="15"/>
      <c r="X5" s="15" t="s">
        <v>56</v>
      </c>
      <c r="Y5" s="15"/>
      <c r="Z5" s="15" t="s">
        <v>65</v>
      </c>
    </row>
    <row r="6" spans="1:48" x14ac:dyDescent="0.3">
      <c r="A6" s="1" t="s">
        <v>3</v>
      </c>
      <c r="B6" s="1">
        <v>5</v>
      </c>
      <c r="E6" s="11"/>
      <c r="F6" s="12"/>
      <c r="G6" s="12"/>
      <c r="H6" s="12"/>
      <c r="I6" s="13"/>
      <c r="J6" s="10" t="s">
        <v>6</v>
      </c>
      <c r="M6" s="3"/>
      <c r="N6" s="3"/>
      <c r="O6" s="3"/>
      <c r="P6" s="3" t="s">
        <v>51</v>
      </c>
      <c r="R6" t="s">
        <v>66</v>
      </c>
    </row>
    <row r="7" spans="1:48" x14ac:dyDescent="0.3">
      <c r="E7" s="3"/>
      <c r="F7" s="3"/>
      <c r="G7" s="3"/>
      <c r="H7" s="3"/>
      <c r="I7" s="3"/>
      <c r="J7" s="10" t="s">
        <v>50</v>
      </c>
    </row>
    <row r="10" spans="1:48" x14ac:dyDescent="0.3">
      <c r="F10" s="5" t="s">
        <v>8</v>
      </c>
      <c r="G10" s="5"/>
      <c r="H10" s="5"/>
      <c r="I10" s="5"/>
      <c r="J10" s="5"/>
    </row>
    <row r="11" spans="1:48" x14ac:dyDescent="0.3">
      <c r="F11" s="1">
        <v>1</v>
      </c>
      <c r="G11" s="1">
        <v>0</v>
      </c>
      <c r="H11" s="1">
        <v>1</v>
      </c>
      <c r="I11" s="1">
        <v>0</v>
      </c>
      <c r="J11" s="1">
        <v>1</v>
      </c>
    </row>
    <row r="15" spans="1:48" x14ac:dyDescent="0.3">
      <c r="E15" s="17" t="s">
        <v>53</v>
      </c>
      <c r="F15" s="17"/>
      <c r="G15" s="17"/>
      <c r="H15" s="17"/>
      <c r="I15" s="17"/>
      <c r="J15" s="17"/>
      <c r="K15" s="17"/>
      <c r="L15" s="17"/>
      <c r="M15" s="17" t="s">
        <v>25</v>
      </c>
      <c r="N15" s="17"/>
      <c r="O15" s="17"/>
      <c r="P15" s="17"/>
      <c r="Q15" s="17"/>
      <c r="R15" s="17"/>
      <c r="S15" s="17"/>
      <c r="T15" s="17"/>
      <c r="U15" s="17" t="s">
        <v>55</v>
      </c>
      <c r="V15" s="17"/>
      <c r="W15" s="17"/>
      <c r="X15" s="17"/>
      <c r="Y15" s="17"/>
      <c r="Z15" s="17"/>
      <c r="AB15" t="s">
        <v>59</v>
      </c>
      <c r="AJ15" t="s">
        <v>60</v>
      </c>
      <c r="AQ15" t="s">
        <v>62</v>
      </c>
    </row>
    <row r="16" spans="1:48" x14ac:dyDescent="0.3">
      <c r="E16" s="17"/>
      <c r="F16" s="18">
        <f t="array" ref="F16:J19">MMULT(M2:P5,F2:J5)+R2:R5</f>
        <v>2.7226116774179308</v>
      </c>
      <c r="G16" s="18">
        <v>2.5689288967307022</v>
      </c>
      <c r="H16" s="18">
        <v>1.9619703806046873</v>
      </c>
      <c r="I16" s="18">
        <v>2.4598042141891785</v>
      </c>
      <c r="J16" s="18">
        <v>2.1996968439831082</v>
      </c>
      <c r="K16" s="17"/>
      <c r="L16" s="17"/>
      <c r="M16" s="17"/>
      <c r="N16" s="18">
        <f>(1/(1+EXP(-F16)))</f>
        <v>0.93834779551759295</v>
      </c>
      <c r="O16" s="18">
        <f t="shared" ref="O16:R19" si="0">(1/(1+EXP(-G16)))</f>
        <v>0.92883492785437871</v>
      </c>
      <c r="P16" s="18">
        <f t="shared" si="0"/>
        <v>0.87674603465086853</v>
      </c>
      <c r="Q16" s="18">
        <f t="shared" si="0"/>
        <v>0.92127546424638884</v>
      </c>
      <c r="R16" s="18">
        <f t="shared" si="0"/>
        <v>0.9002222840668076</v>
      </c>
      <c r="S16" s="17"/>
      <c r="T16" s="17"/>
      <c r="U16" s="17"/>
      <c r="V16" s="18">
        <f t="array" ref="V16:Z18">MMULT(U2:X4,N16:R19)+Z2:Z4</f>
        <v>1.706142042744172</v>
      </c>
      <c r="W16" s="18">
        <v>1.6928304497703612</v>
      </c>
      <c r="X16" s="18">
        <v>1.6411271764160984</v>
      </c>
      <c r="Y16" s="18">
        <v>1.6963285692683607</v>
      </c>
      <c r="Z16" s="18">
        <v>1.6520793151671138</v>
      </c>
      <c r="AC16" s="1">
        <f>(1/(1+EXP(-V16)))</f>
        <v>0.84633521962049352</v>
      </c>
      <c r="AD16" s="1">
        <f t="shared" ref="AD16:AG18" si="1">(1/(1+EXP(-W16)))</f>
        <v>0.84459602899121888</v>
      </c>
      <c r="AE16" s="1">
        <f t="shared" si="1"/>
        <v>0.83768825415404224</v>
      </c>
      <c r="AF16" s="1">
        <f t="shared" si="1"/>
        <v>0.84505461642102453</v>
      </c>
      <c r="AG16" s="1">
        <f t="shared" si="1"/>
        <v>0.83917187781727787</v>
      </c>
      <c r="AK16" s="1">
        <f t="array" ref="AK16:AO16">MMULT(AB2:AD2,V16:Z18)+AF2</f>
        <v>1.723412326231768</v>
      </c>
      <c r="AL16" s="1">
        <v>1.7118058856332263</v>
      </c>
      <c r="AM16" s="1">
        <v>1.6742076385465898</v>
      </c>
      <c r="AN16" s="1">
        <v>1.715906317918106</v>
      </c>
      <c r="AO16" s="1">
        <v>1.6761000595070845</v>
      </c>
      <c r="AR16" s="1">
        <f>(1/(1+EXP(-AK16)))</f>
        <v>0.84856784356958515</v>
      </c>
      <c r="AS16" s="1">
        <f t="shared" ref="AS16:AV16" si="2">(1/(1+EXP(-AL16)))</f>
        <v>0.84707036921209722</v>
      </c>
      <c r="AT16" s="1">
        <f t="shared" si="2"/>
        <v>0.84213600266209576</v>
      </c>
      <c r="AU16" s="1">
        <f t="shared" si="2"/>
        <v>0.84760079245340314</v>
      </c>
      <c r="AV16" s="1">
        <f t="shared" si="2"/>
        <v>0.84238742383644871</v>
      </c>
    </row>
    <row r="17" spans="5:48" x14ac:dyDescent="0.3">
      <c r="E17" s="17"/>
      <c r="F17" s="18">
        <v>1.8892628151265665</v>
      </c>
      <c r="G17" s="18">
        <v>1.7050100533966439</v>
      </c>
      <c r="H17" s="18">
        <v>1.245661682532583</v>
      </c>
      <c r="I17" s="18">
        <v>1.9588286050613355</v>
      </c>
      <c r="J17" s="18">
        <v>1.2652868688758487</v>
      </c>
      <c r="K17" s="17"/>
      <c r="L17" s="17"/>
      <c r="M17" s="17"/>
      <c r="N17" s="18">
        <f t="shared" ref="N17:N19" si="3">(1/(1+EXP(-F17)))</f>
        <v>0.86867145436342885</v>
      </c>
      <c r="O17" s="18">
        <f t="shared" si="0"/>
        <v>0.84618794451419976</v>
      </c>
      <c r="P17" s="18">
        <f t="shared" si="0"/>
        <v>0.7765479743018</v>
      </c>
      <c r="Q17" s="18">
        <f t="shared" si="0"/>
        <v>0.8764061247103645</v>
      </c>
      <c r="R17" s="18">
        <f t="shared" si="0"/>
        <v>0.7799348701154476</v>
      </c>
      <c r="S17" s="17"/>
      <c r="T17" s="17"/>
      <c r="U17" s="17"/>
      <c r="V17" s="18">
        <v>2.8413590931032986</v>
      </c>
      <c r="W17" s="18">
        <v>2.7987005871616248</v>
      </c>
      <c r="X17" s="18">
        <v>2.6651504299318898</v>
      </c>
      <c r="Y17" s="18">
        <v>2.8028557473182971</v>
      </c>
      <c r="Z17" s="18">
        <v>2.6614688493410146</v>
      </c>
      <c r="AC17" s="1">
        <f t="shared" ref="AC17:AC18" si="4">(1/(1+EXP(-V17)))</f>
        <v>0.94487030076102829</v>
      </c>
      <c r="AD17" s="1">
        <f t="shared" si="1"/>
        <v>0.9426055658771002</v>
      </c>
      <c r="AE17" s="1">
        <f t="shared" si="1"/>
        <v>0.93493866147685278</v>
      </c>
      <c r="AF17" s="1">
        <f t="shared" si="1"/>
        <v>0.94282994835838052</v>
      </c>
      <c r="AG17" s="1">
        <f t="shared" si="1"/>
        <v>0.93471435804938685</v>
      </c>
    </row>
    <row r="18" spans="5:48" x14ac:dyDescent="0.3">
      <c r="E18" s="17"/>
      <c r="F18" s="18">
        <v>2.9470399650629924</v>
      </c>
      <c r="G18" s="18">
        <v>2.6271556745781863</v>
      </c>
      <c r="H18" s="18">
        <v>2.1480951501733596</v>
      </c>
      <c r="I18" s="18">
        <v>2.7227837860556408</v>
      </c>
      <c r="J18" s="18">
        <v>1.8169851283804332</v>
      </c>
      <c r="K18" s="17"/>
      <c r="L18" s="17"/>
      <c r="M18" s="17"/>
      <c r="N18" s="18">
        <f t="shared" si="3"/>
        <v>0.95012340232504866</v>
      </c>
      <c r="O18" s="18">
        <f t="shared" si="0"/>
        <v>0.9325889556540834</v>
      </c>
      <c r="P18" s="18">
        <f t="shared" si="0"/>
        <v>0.89549064166213432</v>
      </c>
      <c r="Q18" s="18">
        <f t="shared" si="0"/>
        <v>0.93835775145942935</v>
      </c>
      <c r="R18" s="18">
        <f t="shared" si="0"/>
        <v>0.86020397294874451</v>
      </c>
      <c r="S18" s="17"/>
      <c r="T18" s="17"/>
      <c r="U18" s="17"/>
      <c r="V18" s="18">
        <v>1.5479333614863369</v>
      </c>
      <c r="W18" s="18">
        <v>1.5341441942560181</v>
      </c>
      <c r="X18" s="18">
        <v>1.4944969820076293</v>
      </c>
      <c r="Y18" s="18">
        <v>1.5412125825076064</v>
      </c>
      <c r="Z18" s="18">
        <v>1.4923657990766812</v>
      </c>
      <c r="AC18" s="1">
        <f t="shared" si="4"/>
        <v>0.82461504457462353</v>
      </c>
      <c r="AD18" s="1">
        <f t="shared" si="1"/>
        <v>0.82261185036017359</v>
      </c>
      <c r="AE18" s="1">
        <f t="shared" si="1"/>
        <v>0.81675228578447667</v>
      </c>
      <c r="AF18" s="1">
        <f t="shared" si="1"/>
        <v>0.82364092989911042</v>
      </c>
      <c r="AG18" s="1">
        <f t="shared" si="1"/>
        <v>0.81643310057262852</v>
      </c>
    </row>
    <row r="19" spans="5:48" x14ac:dyDescent="0.3">
      <c r="E19" s="17"/>
      <c r="F19" s="18">
        <v>2.5766021445404252</v>
      </c>
      <c r="G19" s="18">
        <v>2.3340745200998403</v>
      </c>
      <c r="H19" s="18">
        <v>1.888063441680635</v>
      </c>
      <c r="I19" s="18">
        <v>2.181366012500376</v>
      </c>
      <c r="J19" s="18">
        <v>1.8185589972729939</v>
      </c>
      <c r="K19" s="17"/>
      <c r="L19" s="17"/>
      <c r="M19" s="17"/>
      <c r="N19" s="18">
        <f t="shared" si="3"/>
        <v>0.92934046818467864</v>
      </c>
      <c r="O19" s="18">
        <f t="shared" si="0"/>
        <v>0.91166003323893086</v>
      </c>
      <c r="P19" s="18">
        <f t="shared" si="0"/>
        <v>0.86853456769966575</v>
      </c>
      <c r="Q19" s="18">
        <f t="shared" si="0"/>
        <v>0.89856364787415988</v>
      </c>
      <c r="R19" s="18">
        <f t="shared" si="0"/>
        <v>0.86039312828489789</v>
      </c>
      <c r="S19" s="17"/>
      <c r="T19" s="17"/>
      <c r="U19" s="17"/>
      <c r="V19" s="17"/>
      <c r="W19" s="17"/>
      <c r="X19" s="17"/>
      <c r="Y19" s="17"/>
      <c r="Z19" s="17" t="s">
        <v>61</v>
      </c>
    </row>
    <row r="20" spans="5:48" x14ac:dyDescent="0.3">
      <c r="R20" t="s">
        <v>50</v>
      </c>
    </row>
    <row r="22" spans="5:48" x14ac:dyDescent="0.3">
      <c r="AR22" t="s">
        <v>43</v>
      </c>
      <c r="AS22" t="s">
        <v>44</v>
      </c>
      <c r="AT22" t="s">
        <v>45</v>
      </c>
      <c r="AU22" t="s">
        <v>63</v>
      </c>
      <c r="AV22" t="s">
        <v>64</v>
      </c>
    </row>
    <row r="23" spans="5:48" x14ac:dyDescent="0.3">
      <c r="AR23">
        <f>-((F11*LN(AR16))+((1-F11)*(LN(1-AR16))))</f>
        <v>0.16420524043933116</v>
      </c>
      <c r="AS23">
        <f t="shared" ref="AS23:AV23" si="5">-((G11*LN(AS16))+((1-G11)*(LN(1-AS16))))</f>
        <v>1.877777392880543</v>
      </c>
      <c r="AT23">
        <f t="shared" si="5"/>
        <v>0.17181375443164468</v>
      </c>
      <c r="AU23">
        <f t="shared" si="5"/>
        <v>1.8812518355685903</v>
      </c>
      <c r="AV23">
        <f t="shared" si="5"/>
        <v>0.17151524724288744</v>
      </c>
    </row>
    <row r="25" spans="5:48" x14ac:dyDescent="0.3">
      <c r="AQ25" t="s">
        <v>67</v>
      </c>
      <c r="AR25" s="3">
        <f>AVERAGE(AR23:AV23)</f>
        <v>0.85331269411259947</v>
      </c>
    </row>
  </sheetData>
  <mergeCells count="6">
    <mergeCell ref="AB1:AD1"/>
    <mergeCell ref="E1:J1"/>
    <mergeCell ref="E6:I6"/>
    <mergeCell ref="M1:P1"/>
    <mergeCell ref="F10:J10"/>
    <mergeCell ref="U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Shah</dc:creator>
  <cp:lastModifiedBy>Dhanesh Shah</cp:lastModifiedBy>
  <dcterms:created xsi:type="dcterms:W3CDTF">2026-07-31T05:41:44Z</dcterms:created>
  <dcterms:modified xsi:type="dcterms:W3CDTF">2026-07-31T07:11:32Z</dcterms:modified>
</cp:coreProperties>
</file>