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82EED9C-7EC5-4D34-9A11-CB5E75E4F108}" xr6:coauthVersionLast="47" xr6:coauthVersionMax="47" xr10:uidLastSave="{00000000-0000-0000-0000-000000000000}"/>
  <bookViews>
    <workbookView xWindow="-108" yWindow="-108" windowWidth="23256" windowHeight="12456" xr2:uid="{79667B96-E790-4254-9F3E-E2CFAB21E225}"/>
  </bookViews>
  <sheets>
    <sheet name="Q1" sheetId="1" r:id="rId1"/>
    <sheet name="Q2" sheetId="4" r:id="rId2"/>
    <sheet name="Q3" sheetId="3" r:id="rId3"/>
    <sheet name="Q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5" l="1"/>
  <c r="B15" i="5"/>
  <c r="B14" i="5"/>
  <c r="F12" i="5"/>
  <c r="F4" i="5"/>
  <c r="F5" i="5"/>
  <c r="F6" i="5"/>
  <c r="F7" i="5"/>
  <c r="F8" i="5"/>
  <c r="F9" i="5"/>
  <c r="F10" i="5"/>
  <c r="F11" i="5"/>
  <c r="F3" i="5"/>
  <c r="C4" i="5"/>
  <c r="C5" i="5"/>
  <c r="C6" i="5"/>
  <c r="C7" i="5"/>
  <c r="C8" i="5"/>
  <c r="C9" i="5"/>
  <c r="C10" i="5"/>
  <c r="C11" i="5"/>
  <c r="C3" i="5"/>
  <c r="B12" i="5"/>
  <c r="E6" i="3"/>
  <c r="E7" i="3"/>
  <c r="E8" i="3"/>
  <c r="E9" i="3"/>
  <c r="E10" i="3"/>
  <c r="E11" i="3"/>
  <c r="E12" i="3"/>
  <c r="E13" i="3"/>
  <c r="E14" i="3"/>
  <c r="E15" i="3"/>
  <c r="E16" i="3"/>
  <c r="E5" i="3"/>
  <c r="C17" i="3"/>
  <c r="C18" i="3" s="1"/>
  <c r="D17" i="3"/>
  <c r="D18" i="3" s="1"/>
  <c r="B17" i="3"/>
  <c r="E17" i="3" s="1"/>
  <c r="B20" i="4"/>
  <c r="B19" i="4"/>
  <c r="B18" i="4"/>
  <c r="B17" i="4"/>
  <c r="B14" i="4"/>
  <c r="B16" i="4"/>
  <c r="B15" i="4"/>
  <c r="B13" i="4"/>
  <c r="B12" i="4"/>
  <c r="I8" i="4"/>
  <c r="I9" i="4"/>
  <c r="I10" i="4"/>
  <c r="I7" i="4"/>
  <c r="H7" i="4"/>
  <c r="H8" i="4"/>
  <c r="H9" i="4"/>
  <c r="H10" i="4"/>
  <c r="H6" i="4"/>
  <c r="G6" i="4"/>
  <c r="G7" i="4"/>
  <c r="G8" i="4"/>
  <c r="G9" i="4"/>
  <c r="G10" i="4"/>
  <c r="G5" i="4"/>
  <c r="F8" i="4"/>
  <c r="F9" i="4"/>
  <c r="F10" i="4"/>
  <c r="F7" i="4"/>
  <c r="E7" i="4"/>
  <c r="E8" i="4"/>
  <c r="E9" i="4"/>
  <c r="E10" i="4"/>
  <c r="E6" i="4"/>
  <c r="D6" i="4"/>
  <c r="D7" i="4"/>
  <c r="D8" i="4"/>
  <c r="D9" i="4"/>
  <c r="D10" i="4"/>
  <c r="D5" i="4"/>
  <c r="C8" i="4"/>
  <c r="C9" i="4"/>
  <c r="C10" i="4"/>
  <c r="C7" i="4"/>
  <c r="B7" i="4"/>
  <c r="B8" i="4"/>
  <c r="B9" i="4"/>
  <c r="B10" i="4"/>
  <c r="B6" i="4"/>
  <c r="I16" i="1"/>
  <c r="H16" i="1"/>
  <c r="I6" i="1"/>
  <c r="I7" i="1"/>
  <c r="I8" i="1"/>
  <c r="I9" i="1"/>
  <c r="I10" i="1"/>
  <c r="I11" i="1"/>
  <c r="I12" i="1"/>
  <c r="I13" i="1"/>
  <c r="I14" i="1"/>
  <c r="I5" i="1"/>
  <c r="H5" i="1"/>
  <c r="H6" i="1"/>
  <c r="H7" i="1"/>
  <c r="H8" i="1"/>
  <c r="H9" i="1"/>
  <c r="H10" i="1"/>
  <c r="H11" i="1"/>
  <c r="H12" i="1"/>
  <c r="H13" i="1"/>
  <c r="H14" i="1"/>
  <c r="H4" i="1"/>
  <c r="G5" i="1"/>
  <c r="G6" i="1"/>
  <c r="G12" i="1"/>
  <c r="G14" i="1"/>
  <c r="F5" i="1"/>
  <c r="F6" i="1"/>
  <c r="F7" i="1"/>
  <c r="G7" i="1" s="1"/>
  <c r="F8" i="1"/>
  <c r="G8" i="1" s="1"/>
  <c r="F9" i="1"/>
  <c r="G9" i="1" s="1"/>
  <c r="F10" i="1"/>
  <c r="G10" i="1" s="1"/>
  <c r="F11" i="1"/>
  <c r="G11" i="1" s="1"/>
  <c r="F12" i="1"/>
  <c r="F13" i="1"/>
  <c r="G13" i="1" s="1"/>
  <c r="F14" i="1"/>
  <c r="F4" i="1"/>
  <c r="G4" i="1" s="1"/>
  <c r="E6" i="1"/>
  <c r="E7" i="1"/>
  <c r="E8" i="1"/>
  <c r="E9" i="1"/>
  <c r="E10" i="1"/>
  <c r="E11" i="1"/>
  <c r="E12" i="1"/>
  <c r="E5" i="1"/>
  <c r="D5" i="1"/>
  <c r="D6" i="1"/>
  <c r="D7" i="1"/>
  <c r="D8" i="1"/>
  <c r="D9" i="1"/>
  <c r="D10" i="1"/>
  <c r="D11" i="1"/>
  <c r="D12" i="1"/>
  <c r="D13" i="1"/>
  <c r="D4" i="1"/>
  <c r="E4" i="5" l="1"/>
  <c r="E8" i="5"/>
  <c r="E9" i="5"/>
  <c r="E10" i="5"/>
  <c r="E3" i="5"/>
  <c r="E5" i="5"/>
  <c r="E11" i="5"/>
  <c r="E6" i="5"/>
  <c r="E7" i="5"/>
  <c r="D4" i="5"/>
  <c r="D6" i="5"/>
  <c r="D8" i="5"/>
  <c r="D10" i="5"/>
  <c r="D3" i="5"/>
  <c r="D5" i="5"/>
  <c r="D7" i="5"/>
  <c r="D9" i="5"/>
  <c r="D11" i="5"/>
  <c r="F14" i="3"/>
  <c r="F8" i="3"/>
  <c r="G8" i="3" s="1"/>
  <c r="H8" i="3" s="1"/>
  <c r="G14" i="3"/>
  <c r="H14" i="3" s="1"/>
  <c r="G6" i="3"/>
  <c r="H6" i="3" s="1"/>
  <c r="F13" i="3"/>
  <c r="G13" i="3" s="1"/>
  <c r="H13" i="3" s="1"/>
  <c r="F11" i="3"/>
  <c r="G11" i="3" s="1"/>
  <c r="H11" i="3" s="1"/>
  <c r="F5" i="3"/>
  <c r="G5" i="3" s="1"/>
  <c r="H5" i="3" s="1"/>
  <c r="F12" i="3"/>
  <c r="G12" i="3" s="1"/>
  <c r="H12" i="3" s="1"/>
  <c r="F10" i="3"/>
  <c r="G10" i="3" s="1"/>
  <c r="H10" i="3" s="1"/>
  <c r="F9" i="3"/>
  <c r="G9" i="3" s="1"/>
  <c r="H9" i="3" s="1"/>
  <c r="F7" i="3"/>
  <c r="G7" i="3" s="1"/>
  <c r="H7" i="3" s="1"/>
  <c r="F6" i="3"/>
  <c r="B18" i="3"/>
  <c r="F15" i="3"/>
  <c r="G15" i="3" s="1"/>
  <c r="H15" i="3" s="1"/>
  <c r="F16" i="3"/>
  <c r="G16" i="3" s="1"/>
  <c r="H16" i="3" s="1"/>
</calcChain>
</file>

<file path=xl/sharedStrings.xml><?xml version="1.0" encoding="utf-8"?>
<sst xmlns="http://schemas.openxmlformats.org/spreadsheetml/2006/main" count="116" uniqueCount="104">
  <si>
    <t xml:space="preserve">Month Sales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</si>
  <si>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</si>
  <si>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</si>
  <si>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</si>
  <si>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</si>
  <si>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</si>
  <si>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</si>
  <si>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</si>
  <si>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</si>
  <si>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</si>
  <si>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</si>
  <si>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</si>
  <si>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</si>
  <si>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3-MA</t>
  </si>
  <si>
    <t>5-MA</t>
  </si>
  <si>
    <t>First Difference</t>
  </si>
  <si>
    <t>Percentage Change</t>
  </si>
  <si>
    <t>Lag-1 Xt-1</t>
  </si>
  <si>
    <t>Lag-2 Xt-2</t>
  </si>
  <si>
    <t>Moving average smooths small fluctuations and clearly highlights the increasing trend</t>
  </si>
  <si>
    <t>5A is more smoother than 3A because it averages more observation values</t>
  </si>
  <si>
    <t>Lag 1 correlation</t>
  </si>
  <si>
    <t>Lag 2 correlation</t>
  </si>
  <si>
    <t>Month</t>
  </si>
  <si>
    <t>Xt</t>
  </si>
  <si>
    <t>Xt-1</t>
  </si>
  <si>
    <t>Xt-2</t>
  </si>
  <si>
    <t>Xt - Xbar</t>
  </si>
  <si>
    <t>Xt-1 - Xbar</t>
  </si>
  <si>
    <t>Xt-2 - Xbar</t>
  </si>
  <si>
    <t>(Xt - Xbar)^2</t>
  </si>
  <si>
    <t>Xt - Xbar * Xt-1 - Xbar</t>
  </si>
  <si>
    <t>Xt - Xbar * Xt-2 - Xbar</t>
  </si>
  <si>
    <t>Xbar</t>
  </si>
  <si>
    <t>Sum  (Xt - Xbar)^2</t>
  </si>
  <si>
    <t>Variance of Xt_co</t>
  </si>
  <si>
    <t>Sum  (Xt - Xbar * Xt-1 - Xbar)</t>
  </si>
  <si>
    <t>Sum  (Xt - Xbar * Xt-2 - Xbar)</t>
  </si>
  <si>
    <t>Lag1_autocovariance_c1</t>
  </si>
  <si>
    <t>Lag2_autocovariance_c1</t>
  </si>
  <si>
    <t>Lag1_autocorrelation_coff_r1</t>
  </si>
  <si>
    <t>Lag2_autocorrelation_coff_r2</t>
  </si>
  <si>
    <t>Total</t>
  </si>
  <si>
    <t>Average</t>
  </si>
  <si>
    <t>Forecast for 2006</t>
  </si>
  <si>
    <t>Expected demand for 2006</t>
  </si>
  <si>
    <t>No.of Months</t>
  </si>
  <si>
    <t>Average 2003-2005</t>
  </si>
  <si>
    <t>Average Monthly</t>
  </si>
  <si>
    <t>Seasonality Index</t>
  </si>
  <si>
    <t>The Following table gives the monthly demand for a product for 2003-2005. The expected annual demand for 2006 is 1200 units</t>
  </si>
  <si>
    <t>Using seasonal index method , calculate the monthly demand forecast for 2006</t>
  </si>
  <si>
    <t>Day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</si>
  <si>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</si>
  <si>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</si>
  <si>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</si>
  <si>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</si>
  <si>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</si>
  <si>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</si>
  <si>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</si>
  <si>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</si>
  <si>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</si>
  <si>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</si>
  <si>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rt</t>
  </si>
  <si>
    <t>rt-1</t>
  </si>
  <si>
    <t>rt- mean</t>
  </si>
  <si>
    <t>rt-1 - mean</t>
  </si>
  <si>
    <t>(rt-mean)(rt-1 - mean)</t>
  </si>
  <si>
    <t>Mean</t>
  </si>
  <si>
    <t>Autocovariance</t>
  </si>
  <si>
    <t>Variance</t>
  </si>
  <si>
    <t>ACF</t>
  </si>
  <si>
    <t>It is the correlation co-efficient calculated from the lagged observations</t>
  </si>
  <si>
    <t>Note: Excel CORREL() is used to calculate Pearson correlation between the original series and its lagged series.</t>
  </si>
  <si>
    <t>The differenced series fluctuates around a nearly constant level, indicating the trend has been largely removed.</t>
  </si>
  <si>
    <t>Percentage change shows the relative growth rate instead of the absolute increase.</t>
  </si>
  <si>
    <t>Lag - 1 correlation is very strong.</t>
  </si>
  <si>
    <t>Current month's sales are highly related to the previous month's sales.</t>
  </si>
  <si>
    <t>Lag - 2 is also highly correlated, but typically slightly weaker than Lag-1.</t>
  </si>
  <si>
    <t>Q8 - Trend Analysis</t>
  </si>
  <si>
    <t>The sales increase steadily from January to December.</t>
  </si>
  <si>
    <t>There are only minor fluctuations.</t>
  </si>
  <si>
    <t>Both 3-MA and 5-MA clearly show an upward trend.</t>
  </si>
  <si>
    <t>The 5-MA provides a smoother representation than the 3-MA.</t>
  </si>
  <si>
    <t>Q9 - Stationarity</t>
  </si>
  <si>
    <t>Original Series</t>
  </si>
  <si>
    <t>Invreasing trend.</t>
  </si>
  <si>
    <t>Mean changes over time.</t>
  </si>
  <si>
    <t>Not stationary.</t>
  </si>
  <si>
    <t>Differenced Series</t>
  </si>
  <si>
    <t>Fluctuates around a constant level.</t>
  </si>
  <si>
    <t>Mean is approximately constant.</t>
  </si>
  <si>
    <t>More suitable for forecasting.</t>
  </si>
  <si>
    <t>Interpretation</t>
  </si>
  <si>
    <t>(i) What is Moving Average?</t>
  </si>
  <si>
    <t>A moving average smooths short-term fluctuations by averaging neighbouring observations to reveal the underlying trend.</t>
  </si>
  <si>
    <t>(ii) Why is smoothing useful?</t>
  </si>
  <si>
    <t>It reduces random noise and makes the long-term trend easier to observe.</t>
  </si>
  <si>
    <t>(iii) What is First Difference?</t>
  </si>
  <si>
    <t>First differencing subtracts each observation from the previous one to remove trends and help achieve stationarity.</t>
  </si>
  <si>
    <t>(iv) What is Autocorrelation?</t>
  </si>
  <si>
    <t>Autocorrelation measures how strongly a time series is related to its past values.</t>
  </si>
  <si>
    <t>(v) Why calculate Percentage Change?</t>
  </si>
  <si>
    <t>Percentage change measures the relative growth or decline between consecutive observations, making comparisions easier.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</si>
</sst>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2" xfId="0" applyBorder="1"/>
    <xf numFmtId="164" fontId="0" fillId="0" borderId="2" xfId="1" applyNumberFormat="1" applyFont="1" applyBorder="1"/>
    <xf numFmtId="0" fontId="0" fillId="2" borderId="2" xfId="0" applyFill="1" applyBorder="1"/>
    <xf numFmtId="0" fontId="2" fillId="2" borderId="2" xfId="0" applyFont="1" applyFill="1" applyBorder="1"/>
    <xf numFmtId="1" fontId="0" fillId="0" borderId="2" xfId="0" applyNumberFormat="1" applyBorder="1"/>
    <xf numFmtId="2" fontId="0" fillId="0" borderId="2" xfId="0" applyNumberForma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2" xfId="0" applyNumberFormat="1" applyBorder="1"/>
    <xf numFmtId="9" fontId="0" fillId="0" borderId="2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'Q1'!$C$3:$C$14</c:f>
              <c:numCache>
                <c:formatCode>General</c:formatCode>
                <c:ptCount val="12"/>
                <c:pt idx="0">
                  <c:v>120</c:v>
                </c:pt>
                <c:pt idx="1">
                  <c:v>126</c:v>
                </c:pt>
                <c:pt idx="2">
                  <c:v>132</c:v>
                </c:pt>
                <c:pt idx="3">
                  <c:v>128</c:v>
                </c:pt>
                <c:pt idx="4">
                  <c:v>136</c:v>
                </c:pt>
                <c:pt idx="5">
                  <c:v>142</c:v>
                </c:pt>
                <c:pt idx="6">
                  <c:v>148</c:v>
                </c:pt>
                <c:pt idx="7">
                  <c:v>152</c:v>
                </c:pt>
                <c:pt idx="8">
                  <c:v>158</c:v>
                </c:pt>
                <c:pt idx="9">
                  <c:v>164</c:v>
                </c:pt>
                <c:pt idx="10">
                  <c:v>170</c:v>
                </c:pt>
                <c:pt idx="11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8-44F1-B7CB-284EDCE29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143023"/>
        <c:axId val="1990142607"/>
      </c:lineChart>
      <c:catAx>
        <c:axId val="199014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142607"/>
        <c:crosses val="autoZero"/>
        <c:auto val="1"/>
        <c:lblAlgn val="ctr"/>
        <c:lblOffset val="100"/>
        <c:noMultiLvlLbl val="0"/>
      </c:catAx>
      <c:valAx>
        <c:axId val="199014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14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VS 3-A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'Q1'!$B$3:$B$14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'Q1'!$C$3:$C$14</c:f>
              <c:numCache>
                <c:formatCode>General</c:formatCode>
                <c:ptCount val="12"/>
                <c:pt idx="0">
                  <c:v>120</c:v>
                </c:pt>
                <c:pt idx="1">
                  <c:v>126</c:v>
                </c:pt>
                <c:pt idx="2">
                  <c:v>132</c:v>
                </c:pt>
                <c:pt idx="3">
                  <c:v>128</c:v>
                </c:pt>
                <c:pt idx="4">
                  <c:v>136</c:v>
                </c:pt>
                <c:pt idx="5">
                  <c:v>142</c:v>
                </c:pt>
                <c:pt idx="6">
                  <c:v>148</c:v>
                </c:pt>
                <c:pt idx="7">
                  <c:v>152</c:v>
                </c:pt>
                <c:pt idx="8">
                  <c:v>158</c:v>
                </c:pt>
                <c:pt idx="9">
                  <c:v>164</c:v>
                </c:pt>
                <c:pt idx="10">
                  <c:v>170</c:v>
                </c:pt>
                <c:pt idx="11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7-4DB9-9A3C-7C8F7EA6FE2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'Q1'!$B$3:$B$14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'Q1'!$D$3:$D$14</c:f>
              <c:numCache>
                <c:formatCode>General</c:formatCode>
                <c:ptCount val="12"/>
                <c:pt idx="1">
                  <c:v>126</c:v>
                </c:pt>
                <c:pt idx="2">
                  <c:v>128.66666666666666</c:v>
                </c:pt>
                <c:pt idx="3">
                  <c:v>132</c:v>
                </c:pt>
                <c:pt idx="4">
                  <c:v>135.33333333333334</c:v>
                </c:pt>
                <c:pt idx="5">
                  <c:v>142</c:v>
                </c:pt>
                <c:pt idx="6">
                  <c:v>147.33333333333334</c:v>
                </c:pt>
                <c:pt idx="7">
                  <c:v>152.66666666666666</c:v>
                </c:pt>
                <c:pt idx="8">
                  <c:v>158</c:v>
                </c:pt>
                <c:pt idx="9">
                  <c:v>164</c:v>
                </c:pt>
                <c:pt idx="10">
                  <c:v>170.66666666666666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27-4DB9-9A3C-7C8F7EA6F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146767"/>
        <c:axId val="1990161327"/>
      </c:lineChart>
      <c:catAx>
        <c:axId val="199014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161327"/>
        <c:crosses val="autoZero"/>
        <c:auto val="1"/>
        <c:lblAlgn val="ctr"/>
        <c:lblOffset val="100"/>
        <c:noMultiLvlLbl val="0"/>
      </c:catAx>
      <c:valAx>
        <c:axId val="199016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14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VS 5-MA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'Q1'!$C$2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'Q1'!$B$3:$B$14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'Q1'!$C$3:$C$14</c:f>
              <c:numCache>
                <c:formatCode>General</c:formatCode>
                <c:ptCount val="12"/>
                <c:pt idx="0">
                  <c:v>120</c:v>
                </c:pt>
                <c:pt idx="1">
                  <c:v>126</c:v>
                </c:pt>
                <c:pt idx="2">
                  <c:v>132</c:v>
                </c:pt>
                <c:pt idx="3">
                  <c:v>128</c:v>
                </c:pt>
                <c:pt idx="4">
                  <c:v>136</c:v>
                </c:pt>
                <c:pt idx="5">
                  <c:v>142</c:v>
                </c:pt>
                <c:pt idx="6">
                  <c:v>148</c:v>
                </c:pt>
                <c:pt idx="7">
                  <c:v>152</c:v>
                </c:pt>
                <c:pt idx="8">
                  <c:v>158</c:v>
                </c:pt>
                <c:pt idx="9">
                  <c:v>164</c:v>
                </c:pt>
                <c:pt idx="10">
                  <c:v>170</c:v>
                </c:pt>
                <c:pt idx="11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16-46A2-9CF7-98CEDF8C3ABC}"/>
            </c:ext>
          </c:extLst>
        </c:ser>
        <c:ser>
          <c:idx val="2"/>
          <c:order val="1"/>
          <c:tx>
            <c:strRef>
              <c:f>'Q1'!$E$2</c:f>
              <c:strCache>
                <c:ptCount val="1"/>
                <c:pt idx="0">
                  <c:v>5-MA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'Q1'!$B$3:$B$14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'Q1'!$E$3:$E$14</c:f>
              <c:numCache>
                <c:formatCode>General</c:formatCode>
                <c:ptCount val="12"/>
                <c:pt idx="2">
                  <c:v>128.4</c:v>
                </c:pt>
                <c:pt idx="3">
                  <c:v>132.80000000000001</c:v>
                </c:pt>
                <c:pt idx="4">
                  <c:v>137.19999999999999</c:v>
                </c:pt>
                <c:pt idx="5">
                  <c:v>141.19999999999999</c:v>
                </c:pt>
                <c:pt idx="6">
                  <c:v>147.19999999999999</c:v>
                </c:pt>
                <c:pt idx="7">
                  <c:v>152.80000000000001</c:v>
                </c:pt>
                <c:pt idx="8">
                  <c:v>158.4</c:v>
                </c:pt>
                <c:pt idx="9">
                  <c:v>164.4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16-46A2-9CF7-98CEDF8C3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210063"/>
        <c:axId val="1764224623"/>
      </c:lineChart>
      <c:catAx>
        <c:axId val="176421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224623"/>
        <c:crosses val="autoZero"/>
        <c:auto val="1"/>
        <c:lblAlgn val="ctr"/>
        <c:lblOffset val="100"/>
        <c:noMultiLvlLbl val="0"/>
      </c:catAx>
      <c:valAx>
        <c:axId val="176422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21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123825</xdr:colOff>
      <xdr:row>1</xdr:row>
      <xdr:rowOff>14287</xdr:rowOff>
    </xdr:from>
    <xdr:to>
      <xdr:col>17</xdr:col>
      <xdr:colOff>428625</xdr:colOff>
      <xdr:row>15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C63D83-74A8-4F66-B710-B061BFD60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114300</xdr:colOff>
      <xdr:row>1</xdr:row>
      <xdr:rowOff>4762</xdr:rowOff>
    </xdr:from>
    <xdr:to>
      <xdr:col>25</xdr:col>
      <xdr:colOff>419100</xdr:colOff>
      <xdr:row>15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FFCFD5-2DD6-4DB3-AFBE-08F14245C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142875</xdr:colOff>
      <xdr:row>16</xdr:row>
      <xdr:rowOff>52387</xdr:rowOff>
    </xdr:from>
    <xdr:to>
      <xdr:col>17</xdr:col>
      <xdr:colOff>447675</xdr:colOff>
      <xdr:row>30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627F40-BF75-4EBF-8C6A-8A33A69C7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D45C-8E3A-489F-A829-072ACF7BE9C2}">
  <dimension ref="B2:S59"/>
  <sheetViews>
    <sheetView tabSelected="1" topLeftCell="B1" workbookViewId="0">
      <selection activeCell="J11" sqref="J11"/>
    </sheetView>
  </sheetViews>
  <sheetFormatPr defaultRowHeight="14.4" x14ac:dyDescent="0.3"/>
  <cols>
    <col min="1" max="1" width="12.33203125" bestFit="1" customWidth="1"/>
    <col min="2" max="2" width="9.109375" customWidth="1"/>
    <col min="3" max="3" width="12" bestFit="1" customWidth="1"/>
    <col min="4" max="4" width="8.33203125" customWidth="1"/>
    <col min="5" max="5" width="14.88671875" bestFit="1" customWidth="1"/>
    <col min="6" max="7" width="18.33203125" bestFit="1" customWidth="1"/>
    <col min="8" max="8" width="9.5546875" bestFit="1" customWidth="1"/>
    <col min="9" max="9" width="15.5546875" bestFit="1" customWidth="1"/>
  </cols>
  <sheetData>
    <row r="2" spans="2:9" x14ac:dyDescent="0.3">
      <c r="B2" s="7" t="s">
        <v>0</v>
      </c>
      <c r="C2" s="8"/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</row>
    <row r="3" spans="2:9" x14ac:dyDescent="0.3">
      <c r="B3" s="1" t="s">
        <v>1</v>
      </c>
      <c r="C3" s="1">
        <v>120</v>
      </c>
      <c r="D3" s="1"/>
      <c r="E3" s="1"/>
      <c r="F3" s="1"/>
      <c r="G3" s="1"/>
      <c r="H3" s="1"/>
      <c r="I3" s="1"/>
    </row>
    <row r="4" spans="2:9" x14ac:dyDescent="0.3">
      <c r="B4" s="1" t="s">
        <v>2</v>
      </c>
      <c r="C4" s="1">
        <v>126</v>
      </c>
      <c r="D4" s="1">
        <f t="shared" ref="D4:D13" si="0">AVERAGE(C3:C5)</f>
        <v>126</v>
      </c>
      <c r="E4" s="1"/>
      <c r="F4" s="1">
        <f>C4-C3</f>
        <v>6</v>
      </c>
      <c r="G4" s="2">
        <f>F4/C4</f>
        <v>4.7619047619047616E-2</v>
      </c>
      <c r="H4" s="1">
        <f>C3</f>
        <v>120</v>
      </c>
      <c r="I4" s="1"/>
    </row>
    <row r="5" spans="2:9" x14ac:dyDescent="0.3">
      <c r="B5" s="1" t="s">
        <v>3</v>
      </c>
      <c r="C5" s="1">
        <v>132</v>
      </c>
      <c r="D5" s="1">
        <f t="shared" si="0"/>
        <v>128.66666666666666</v>
      </c>
      <c r="E5" s="1">
        <f t="shared" ref="E5:E12" si="1">AVERAGE(C3:C7)</f>
        <v>128.4</v>
      </c>
      <c r="F5" s="1">
        <f t="shared" ref="F5:F14" si="2">C5-C4</f>
        <v>6</v>
      </c>
      <c r="G5" s="2">
        <f t="shared" ref="G5:G14" si="3">F5/C5</f>
        <v>4.5454545454545456E-2</v>
      </c>
      <c r="H5" s="1">
        <f t="shared" ref="H5:H14" si="4">C4</f>
        <v>126</v>
      </c>
      <c r="I5" s="1">
        <f>C3</f>
        <v>120</v>
      </c>
    </row>
    <row r="6" spans="2:9" x14ac:dyDescent="0.3">
      <c r="B6" s="1" t="s">
        <v>4</v>
      </c>
      <c r="C6" s="1">
        <v>128</v>
      </c>
      <c r="D6" s="1">
        <f t="shared" si="0"/>
        <v>132</v>
      </c>
      <c r="E6" s="1">
        <f t="shared" si="1"/>
        <v>132.80000000000001</v>
      </c>
      <c r="F6" s="1">
        <f t="shared" si="2"/>
        <v>-4</v>
      </c>
      <c r="G6" s="2">
        <f t="shared" si="3"/>
        <v>-3.125E-2</v>
      </c>
      <c r="H6" s="1">
        <f t="shared" si="4"/>
        <v>132</v>
      </c>
      <c r="I6" s="1">
        <f t="shared" ref="I6:I14" si="5">C4</f>
        <v>126</v>
      </c>
    </row>
    <row r="7" spans="2:9" x14ac:dyDescent="0.3">
      <c r="B7" s="1" t="s">
        <v>5</v>
      </c>
      <c r="C7" s="1">
        <v>136</v>
      </c>
      <c r="D7" s="1">
        <f t="shared" si="0"/>
        <v>135.33333333333334</v>
      </c>
      <c r="E7" s="1">
        <f t="shared" si="1"/>
        <v>137.19999999999999</v>
      </c>
      <c r="F7" s="1">
        <f t="shared" si="2"/>
        <v>8</v>
      </c>
      <c r="G7" s="2">
        <f t="shared" si="3"/>
        <v>5.8823529411764705E-2</v>
      </c>
      <c r="H7" s="1">
        <f t="shared" si="4"/>
        <v>128</v>
      </c>
      <c r="I7" s="1">
        <f t="shared" si="5"/>
        <v>132</v>
      </c>
    </row>
    <row r="8" spans="2:9" x14ac:dyDescent="0.3">
      <c r="B8" s="1" t="s">
        <v>6</v>
      </c>
      <c r="C8" s="1">
        <v>142</v>
      </c>
      <c r="D8" s="1">
        <f t="shared" si="0"/>
        <v>142</v>
      </c>
      <c r="E8" s="1">
        <f t="shared" si="1"/>
        <v>141.19999999999999</v>
      </c>
      <c r="F8" s="1">
        <f t="shared" si="2"/>
        <v>6</v>
      </c>
      <c r="G8" s="2">
        <f t="shared" si="3"/>
        <v>4.2253521126760563E-2</v>
      </c>
      <c r="H8" s="1">
        <f t="shared" si="4"/>
        <v>136</v>
      </c>
      <c r="I8" s="1">
        <f t="shared" si="5"/>
        <v>128</v>
      </c>
    </row>
    <row r="9" spans="2:9" x14ac:dyDescent="0.3">
      <c r="B9" s="1" t="s">
        <v>7</v>
      </c>
      <c r="C9" s="1">
        <v>148</v>
      </c>
      <c r="D9" s="1">
        <f t="shared" si="0"/>
        <v>147.33333333333334</v>
      </c>
      <c r="E9" s="1">
        <f t="shared" si="1"/>
        <v>147.19999999999999</v>
      </c>
      <c r="F9" s="1">
        <f t="shared" si="2"/>
        <v>6</v>
      </c>
      <c r="G9" s="2">
        <f t="shared" si="3"/>
        <v>4.0540540540540543E-2</v>
      </c>
      <c r="H9" s="1">
        <f t="shared" si="4"/>
        <v>142</v>
      </c>
      <c r="I9" s="1">
        <f t="shared" si="5"/>
        <v>136</v>
      </c>
    </row>
    <row r="10" spans="2:9" x14ac:dyDescent="0.3">
      <c r="B10" s="1" t="s">
        <v>8</v>
      </c>
      <c r="C10" s="1">
        <v>152</v>
      </c>
      <c r="D10" s="1">
        <f t="shared" si="0"/>
        <v>152.66666666666666</v>
      </c>
      <c r="E10" s="1">
        <f t="shared" si="1"/>
        <v>152.80000000000001</v>
      </c>
      <c r="F10" s="1">
        <f t="shared" si="2"/>
        <v>4</v>
      </c>
      <c r="G10" s="2">
        <f t="shared" si="3"/>
        <v>2.6315789473684209E-2</v>
      </c>
      <c r="H10" s="1">
        <f t="shared" si="4"/>
        <v>148</v>
      </c>
      <c r="I10" s="1">
        <f t="shared" si="5"/>
        <v>142</v>
      </c>
    </row>
    <row r="11" spans="2:9" x14ac:dyDescent="0.3">
      <c r="B11" s="1" t="s">
        <v>9</v>
      </c>
      <c r="C11" s="1">
        <v>158</v>
      </c>
      <c r="D11" s="1">
        <f t="shared" si="0"/>
        <v>158</v>
      </c>
      <c r="E11" s="1">
        <f t="shared" si="1"/>
        <v>158.4</v>
      </c>
      <c r="F11" s="1">
        <f t="shared" si="2"/>
        <v>6</v>
      </c>
      <c r="G11" s="2">
        <f t="shared" si="3"/>
        <v>3.7974683544303799E-2</v>
      </c>
      <c r="H11" s="1">
        <f t="shared" si="4"/>
        <v>152</v>
      </c>
      <c r="I11" s="1">
        <f t="shared" si="5"/>
        <v>148</v>
      </c>
    </row>
    <row r="12" spans="2:9" x14ac:dyDescent="0.3">
      <c r="B12" s="1" t="s">
        <v>10</v>
      </c>
      <c r="C12" s="1">
        <v>164</v>
      </c>
      <c r="D12" s="1">
        <f t="shared" si="0"/>
        <v>164</v>
      </c>
      <c r="E12" s="1">
        <f t="shared" si="1"/>
        <v>164.4</v>
      </c>
      <c r="F12" s="1">
        <f t="shared" si="2"/>
        <v>6</v>
      </c>
      <c r="G12" s="2">
        <f t="shared" si="3"/>
        <v>3.6585365853658534E-2</v>
      </c>
      <c r="H12" s="1">
        <f t="shared" si="4"/>
        <v>158</v>
      </c>
      <c r="I12" s="1">
        <f t="shared" si="5"/>
        <v>152</v>
      </c>
    </row>
    <row r="13" spans="2:9" x14ac:dyDescent="0.3">
      <c r="B13" s="1" t="s">
        <v>11</v>
      </c>
      <c r="C13" s="1">
        <v>170</v>
      </c>
      <c r="D13" s="1">
        <f t="shared" si="0"/>
        <v>170.66666666666666</v>
      </c>
      <c r="E13" s="1"/>
      <c r="F13" s="1">
        <f t="shared" si="2"/>
        <v>6</v>
      </c>
      <c r="G13" s="2">
        <f t="shared" si="3"/>
        <v>3.5294117647058823E-2</v>
      </c>
      <c r="H13" s="1">
        <f t="shared" si="4"/>
        <v>164</v>
      </c>
      <c r="I13" s="1">
        <f t="shared" si="5"/>
        <v>158</v>
      </c>
    </row>
    <row r="14" spans="2:9" x14ac:dyDescent="0.3">
      <c r="B14" s="1" t="s">
        <v>12</v>
      </c>
      <c r="C14" s="1">
        <v>178</v>
      </c>
      <c r="D14" s="1"/>
      <c r="E14" s="1"/>
      <c r="F14" s="1">
        <f t="shared" si="2"/>
        <v>8</v>
      </c>
      <c r="G14" s="2">
        <f t="shared" si="3"/>
        <v>4.49438202247191E-2</v>
      </c>
      <c r="H14" s="1">
        <f t="shared" si="4"/>
        <v>170</v>
      </c>
      <c r="I14" s="1">
        <f t="shared" si="5"/>
        <v>164</v>
      </c>
    </row>
    <row r="16" spans="2:9" x14ac:dyDescent="0.3">
      <c r="G16" t="s">
        <v>21</v>
      </c>
      <c r="H16" s="3">
        <f>CORREL($C$4:$C$14,H4:H14)</f>
        <v>0.98354099837078213</v>
      </c>
      <c r="I16" s="3">
        <f>CORREL($C$4:$C$14,I4:I14)</f>
        <v>0.97527221874609948</v>
      </c>
    </row>
    <row r="17" spans="2:19" x14ac:dyDescent="0.3">
      <c r="I17" t="s">
        <v>22</v>
      </c>
    </row>
    <row r="18" spans="2:19" x14ac:dyDescent="0.3">
      <c r="B18" t="s">
        <v>72</v>
      </c>
      <c r="S18" t="s">
        <v>19</v>
      </c>
    </row>
    <row r="19" spans="2:19" x14ac:dyDescent="0.3">
      <c r="B19" t="s">
        <v>73</v>
      </c>
    </row>
    <row r="20" spans="2:19" x14ac:dyDescent="0.3">
      <c r="B20" t="s">
        <v>74</v>
      </c>
    </row>
    <row r="21" spans="2:19" x14ac:dyDescent="0.3">
      <c r="B21" t="s">
        <v>75</v>
      </c>
    </row>
    <row r="23" spans="2:19" x14ac:dyDescent="0.3">
      <c r="B23" t="s">
        <v>76</v>
      </c>
    </row>
    <row r="24" spans="2:19" x14ac:dyDescent="0.3">
      <c r="B24" t="s">
        <v>77</v>
      </c>
    </row>
    <row r="26" spans="2:19" x14ac:dyDescent="0.3">
      <c r="B26" t="s">
        <v>78</v>
      </c>
    </row>
    <row r="28" spans="2:19" x14ac:dyDescent="0.3">
      <c r="B28" t="s">
        <v>79</v>
      </c>
    </row>
    <row r="29" spans="2:19" x14ac:dyDescent="0.3">
      <c r="B29" t="s">
        <v>80</v>
      </c>
    </row>
    <row r="30" spans="2:19" x14ac:dyDescent="0.3">
      <c r="B30" t="s">
        <v>81</v>
      </c>
    </row>
    <row r="31" spans="2:19" x14ac:dyDescent="0.3">
      <c r="B31" t="s">
        <v>82</v>
      </c>
    </row>
    <row r="32" spans="2:19" x14ac:dyDescent="0.3">
      <c r="B32" t="s">
        <v>83</v>
      </c>
      <c r="L32" t="s">
        <v>20</v>
      </c>
    </row>
    <row r="34" spans="2:2" x14ac:dyDescent="0.3">
      <c r="B34" t="s">
        <v>84</v>
      </c>
    </row>
    <row r="35" spans="2:2" x14ac:dyDescent="0.3">
      <c r="B35" t="s">
        <v>85</v>
      </c>
    </row>
    <row r="36" spans="2:2" x14ac:dyDescent="0.3">
      <c r="B36" t="s">
        <v>86</v>
      </c>
    </row>
    <row r="37" spans="2:2" x14ac:dyDescent="0.3">
      <c r="B37" t="s">
        <v>87</v>
      </c>
    </row>
    <row r="38" spans="2:2" x14ac:dyDescent="0.3">
      <c r="B38" t="s">
        <v>88</v>
      </c>
    </row>
    <row r="40" spans="2:2" x14ac:dyDescent="0.3">
      <c r="B40" t="s">
        <v>89</v>
      </c>
    </row>
    <row r="41" spans="2:2" x14ac:dyDescent="0.3">
      <c r="B41" t="s">
        <v>90</v>
      </c>
    </row>
    <row r="42" spans="2:2" x14ac:dyDescent="0.3">
      <c r="B42" t="s">
        <v>91</v>
      </c>
    </row>
    <row r="43" spans="2:2" x14ac:dyDescent="0.3">
      <c r="B43" t="s">
        <v>92</v>
      </c>
    </row>
    <row r="45" spans="2:2" x14ac:dyDescent="0.3">
      <c r="B45" t="s">
        <v>93</v>
      </c>
    </row>
    <row r="46" spans="2:2" x14ac:dyDescent="0.3">
      <c r="B46" t="s">
        <v>94</v>
      </c>
    </row>
    <row r="47" spans="2:2" x14ac:dyDescent="0.3">
      <c r="B47" t="s">
        <v>95</v>
      </c>
    </row>
    <row r="49" spans="2:2" x14ac:dyDescent="0.3">
      <c r="B49" t="s">
        <v>96</v>
      </c>
    </row>
    <row r="50" spans="2:2" x14ac:dyDescent="0.3">
      <c r="B50" t="s">
        <v>97</v>
      </c>
    </row>
    <row r="52" spans="2:2" x14ac:dyDescent="0.3">
      <c r="B52" t="s">
        <v>98</v>
      </c>
    </row>
    <row r="53" spans="2:2" x14ac:dyDescent="0.3">
      <c r="B53" t="s">
        <v>99</v>
      </c>
    </row>
    <row r="55" spans="2:2" x14ac:dyDescent="0.3">
      <c r="B55" t="s">
        <v>100</v>
      </c>
    </row>
    <row r="56" spans="2:2" x14ac:dyDescent="0.3">
      <c r="B56" t="s">
        <v>101</v>
      </c>
    </row>
    <row r="58" spans="2:2" x14ac:dyDescent="0.3">
      <c r="B58" t="s">
        <v>102</v>
      </c>
    </row>
    <row r="59" spans="2:2" x14ac:dyDescent="0.3">
      <c r="B59" t="s">
        <v>103</v>
      </c>
    </row>
  </sheetData>
  <mergeCells count="1">
    <mergeCell ref="B2:C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6BE9-19D2-4F17-B4DA-F4ACF502FC8A}">
  <dimension ref="A4:I20"/>
  <sheetViews>
    <sheetView workbookViewId="0">
      <selection activeCell="F18" sqref="F18"/>
    </sheetView>
  </sheetViews>
  <sheetFormatPr defaultRowHeight="14.4" x14ac:dyDescent="0.3"/>
  <cols>
    <col min="1" max="1" width="27.33203125" bestFit="1" customWidth="1"/>
    <col min="5" max="6" width="12.6640625" bestFit="1" customWidth="1"/>
    <col min="7" max="7" width="12" bestFit="1" customWidth="1"/>
    <col min="8" max="9" width="19.6640625" bestFit="1" customWidth="1"/>
  </cols>
  <sheetData>
    <row r="4" spans="1:9" x14ac:dyDescent="0.3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</row>
    <row r="5" spans="1:9" x14ac:dyDescent="0.3">
      <c r="A5" s="1">
        <v>10</v>
      </c>
      <c r="B5" s="1"/>
      <c r="C5" s="1"/>
      <c r="D5" s="1">
        <f>A5-(AVERAGE($A$5:$A$10))</f>
        <v>-4.8333333333333339</v>
      </c>
      <c r="E5" s="1"/>
      <c r="F5" s="1"/>
      <c r="G5" s="1">
        <f>D5^2</f>
        <v>23.361111111111118</v>
      </c>
      <c r="H5" s="1"/>
      <c r="I5" s="1"/>
    </row>
    <row r="6" spans="1:9" x14ac:dyDescent="0.3">
      <c r="A6" s="1">
        <v>12</v>
      </c>
      <c r="B6" s="1">
        <f>A5</f>
        <v>10</v>
      </c>
      <c r="C6" s="1"/>
      <c r="D6" s="1">
        <f t="shared" ref="D6:D10" si="0">A6-(AVERAGE($A$5:$A$10))</f>
        <v>-2.8333333333333339</v>
      </c>
      <c r="E6" s="1">
        <f>A5-(AVERAGE($A$5:$A$10))</f>
        <v>-4.8333333333333339</v>
      </c>
      <c r="F6" s="1"/>
      <c r="G6" s="1">
        <f t="shared" ref="G6:G10" si="1">D6^2</f>
        <v>8.0277777777777803</v>
      </c>
      <c r="H6" s="1">
        <f>D6*E6</f>
        <v>13.694444444444448</v>
      </c>
      <c r="I6" s="1"/>
    </row>
    <row r="7" spans="1:9" x14ac:dyDescent="0.3">
      <c r="A7" s="1">
        <v>15</v>
      </c>
      <c r="B7" s="1">
        <f t="shared" ref="B7:B10" si="2">A6</f>
        <v>12</v>
      </c>
      <c r="C7" s="1">
        <f>A5</f>
        <v>10</v>
      </c>
      <c r="D7" s="1">
        <f t="shared" si="0"/>
        <v>0.16666666666666607</v>
      </c>
      <c r="E7" s="1">
        <f t="shared" ref="E7:E10" si="3">A6-(AVERAGE($A$5:$A$10))</f>
        <v>-2.8333333333333339</v>
      </c>
      <c r="F7" s="1">
        <f>A5-(AVERAGE($A$5:$A$10))</f>
        <v>-4.8333333333333339</v>
      </c>
      <c r="G7" s="1">
        <f t="shared" si="1"/>
        <v>2.7777777777777582E-2</v>
      </c>
      <c r="H7" s="1">
        <f t="shared" ref="H7:H10" si="4">D7*E7</f>
        <v>-0.47222222222222066</v>
      </c>
      <c r="I7" s="1">
        <f>F7*D7</f>
        <v>-0.8055555555555528</v>
      </c>
    </row>
    <row r="8" spans="1:9" x14ac:dyDescent="0.3">
      <c r="A8" s="1">
        <v>14</v>
      </c>
      <c r="B8" s="1">
        <f t="shared" si="2"/>
        <v>15</v>
      </c>
      <c r="C8" s="1">
        <f t="shared" ref="C8:C10" si="5">A6</f>
        <v>12</v>
      </c>
      <c r="D8" s="1">
        <f t="shared" si="0"/>
        <v>-0.83333333333333393</v>
      </c>
      <c r="E8" s="1">
        <f t="shared" si="3"/>
        <v>0.16666666666666607</v>
      </c>
      <c r="F8" s="1">
        <f t="shared" ref="F8:F10" si="6">A6-(AVERAGE($A$5:$A$10))</f>
        <v>-2.8333333333333339</v>
      </c>
      <c r="G8" s="1">
        <f t="shared" si="1"/>
        <v>0.69444444444444542</v>
      </c>
      <c r="H8" s="1">
        <f t="shared" si="4"/>
        <v>-0.13888888888888851</v>
      </c>
      <c r="I8" s="1">
        <f t="shared" ref="I8:I10" si="7">F8*D8</f>
        <v>2.3611111111111134</v>
      </c>
    </row>
    <row r="9" spans="1:9" x14ac:dyDescent="0.3">
      <c r="A9" s="1">
        <v>18</v>
      </c>
      <c r="B9" s="1">
        <f t="shared" si="2"/>
        <v>14</v>
      </c>
      <c r="C9" s="1">
        <f t="shared" si="5"/>
        <v>15</v>
      </c>
      <c r="D9" s="1">
        <f t="shared" si="0"/>
        <v>3.1666666666666661</v>
      </c>
      <c r="E9" s="1">
        <f t="shared" si="3"/>
        <v>-0.83333333333333393</v>
      </c>
      <c r="F9" s="1">
        <f t="shared" si="6"/>
        <v>0.16666666666666607</v>
      </c>
      <c r="G9" s="1">
        <f t="shared" si="1"/>
        <v>10.027777777777773</v>
      </c>
      <c r="H9" s="1">
        <f t="shared" si="4"/>
        <v>-2.6388888888888902</v>
      </c>
      <c r="I9" s="1">
        <f t="shared" si="7"/>
        <v>0.52777777777777579</v>
      </c>
    </row>
    <row r="10" spans="1:9" x14ac:dyDescent="0.3">
      <c r="A10" s="1">
        <v>20</v>
      </c>
      <c r="B10" s="1">
        <f t="shared" si="2"/>
        <v>18</v>
      </c>
      <c r="C10" s="1">
        <f t="shared" si="5"/>
        <v>14</v>
      </c>
      <c r="D10" s="1">
        <f t="shared" si="0"/>
        <v>5.1666666666666661</v>
      </c>
      <c r="E10" s="1">
        <f t="shared" si="3"/>
        <v>3.1666666666666661</v>
      </c>
      <c r="F10" s="1">
        <f t="shared" si="6"/>
        <v>-0.83333333333333393</v>
      </c>
      <c r="G10" s="1">
        <f t="shared" si="1"/>
        <v>26.694444444444439</v>
      </c>
      <c r="H10" s="1">
        <f t="shared" si="4"/>
        <v>16.361111111111107</v>
      </c>
      <c r="I10" s="1">
        <f t="shared" si="7"/>
        <v>-4.305555555555558</v>
      </c>
    </row>
    <row r="12" spans="1:9" x14ac:dyDescent="0.3">
      <c r="A12" s="1" t="s">
        <v>33</v>
      </c>
      <c r="B12" s="3">
        <f>AVERAGE(A5:A10)</f>
        <v>14.833333333333334</v>
      </c>
    </row>
    <row r="13" spans="1:9" x14ac:dyDescent="0.3">
      <c r="A13" s="1" t="s">
        <v>34</v>
      </c>
      <c r="B13" s="3">
        <f>SUM(G5:G10)</f>
        <v>68.833333333333329</v>
      </c>
    </row>
    <row r="14" spans="1:9" x14ac:dyDescent="0.3">
      <c r="A14" s="1" t="s">
        <v>35</v>
      </c>
      <c r="B14" s="3">
        <f>SUM(G5:G10)/COUNT(A5:A10)</f>
        <v>11.472222222222221</v>
      </c>
    </row>
    <row r="15" spans="1:9" x14ac:dyDescent="0.3">
      <c r="A15" s="1" t="s">
        <v>36</v>
      </c>
      <c r="B15" s="3">
        <f>SUM(H5:H10)</f>
        <v>26.805555555555554</v>
      </c>
    </row>
    <row r="16" spans="1:9" x14ac:dyDescent="0.3">
      <c r="A16" s="1" t="s">
        <v>37</v>
      </c>
      <c r="B16" s="3">
        <f>SUM(I5:I10)</f>
        <v>-2.2222222222222214</v>
      </c>
    </row>
    <row r="17" spans="1:2" x14ac:dyDescent="0.3">
      <c r="A17" s="1" t="s">
        <v>38</v>
      </c>
      <c r="B17" s="3">
        <f>SUM(H5:H10)/COUNT(A5:A10)</f>
        <v>4.4675925925925926</v>
      </c>
    </row>
    <row r="18" spans="1:2" x14ac:dyDescent="0.3">
      <c r="A18" s="1" t="s">
        <v>39</v>
      </c>
      <c r="B18" s="3">
        <f>SUM(I5:I10)/COUNT(A5:A10)</f>
        <v>-0.37037037037037024</v>
      </c>
    </row>
    <row r="19" spans="1:2" x14ac:dyDescent="0.3">
      <c r="A19" s="1" t="s">
        <v>40</v>
      </c>
      <c r="B19" s="3">
        <f>B17/B14</f>
        <v>0.3894269572235674</v>
      </c>
    </row>
    <row r="20" spans="1:2" x14ac:dyDescent="0.3">
      <c r="A20" s="1" t="s">
        <v>41</v>
      </c>
      <c r="B20" s="3">
        <f>B18/B14</f>
        <v>-3.228410008071024E-2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E2AA-2F88-422B-9247-9A17DD092AA5}">
  <dimension ref="A1:I22"/>
  <sheetViews>
    <sheetView workbookViewId="0">
      <selection activeCell="B26" sqref="B26"/>
    </sheetView>
  </sheetViews>
  <sheetFormatPr defaultRowHeight="14.4" x14ac:dyDescent="0.3"/>
  <cols>
    <col min="5" max="5" width="17.6640625" bestFit="1" customWidth="1"/>
    <col min="6" max="6" width="16.33203125" bestFit="1" customWidth="1"/>
    <col min="7" max="7" width="16.6640625" bestFit="1" customWidth="1"/>
    <col min="8" max="8" width="16" bestFit="1" customWidth="1"/>
  </cols>
  <sheetData>
    <row r="1" spans="1:9" x14ac:dyDescent="0.3">
      <c r="A1" s="9" t="s">
        <v>50</v>
      </c>
      <c r="B1" s="10"/>
      <c r="C1" s="10"/>
      <c r="D1" s="10"/>
      <c r="E1" s="10"/>
      <c r="F1" s="10"/>
      <c r="G1" s="10"/>
      <c r="H1" s="10"/>
      <c r="I1" s="11"/>
    </row>
    <row r="2" spans="1:9" x14ac:dyDescent="0.3">
      <c r="A2" s="12" t="s">
        <v>51</v>
      </c>
      <c r="B2" s="13"/>
      <c r="C2" s="13"/>
      <c r="D2" s="13"/>
      <c r="E2" s="13"/>
      <c r="F2" s="13"/>
      <c r="G2" s="13"/>
      <c r="H2" s="13"/>
      <c r="I2" s="14"/>
    </row>
    <row r="4" spans="1:9" x14ac:dyDescent="0.3">
      <c r="A4" s="1" t="s">
        <v>23</v>
      </c>
      <c r="B4" s="1">
        <v>2003</v>
      </c>
      <c r="C4" s="1">
        <v>2004</v>
      </c>
      <c r="D4" s="1">
        <v>2005</v>
      </c>
      <c r="E4" s="1" t="s">
        <v>47</v>
      </c>
      <c r="F4" s="1" t="s">
        <v>48</v>
      </c>
      <c r="G4" s="1" t="s">
        <v>49</v>
      </c>
      <c r="H4" s="1" t="s">
        <v>44</v>
      </c>
    </row>
    <row r="5" spans="1:9" x14ac:dyDescent="0.3">
      <c r="A5" s="1" t="s">
        <v>1</v>
      </c>
      <c r="B5" s="1">
        <v>80</v>
      </c>
      <c r="C5" s="1">
        <v>85</v>
      </c>
      <c r="D5" s="1">
        <v>105</v>
      </c>
      <c r="E5" s="5">
        <f>AVERAGE(B5:D5)</f>
        <v>90</v>
      </c>
      <c r="F5" s="6">
        <f>AVERAGE($E$5:$E$16)</f>
        <v>93.722222222222229</v>
      </c>
      <c r="G5" s="1">
        <f>E5/F5</f>
        <v>0.96028452874925896</v>
      </c>
      <c r="H5" s="1">
        <f t="shared" ref="H5:H16" si="0">($D$21/$D$22)*G5</f>
        <v>96.02845287492589</v>
      </c>
    </row>
    <row r="6" spans="1:9" x14ac:dyDescent="0.3">
      <c r="A6" s="1" t="s">
        <v>2</v>
      </c>
      <c r="B6" s="1">
        <v>70</v>
      </c>
      <c r="C6" s="1">
        <v>85</v>
      </c>
      <c r="D6" s="1">
        <v>85</v>
      </c>
      <c r="E6" s="5">
        <f t="shared" ref="E6:E16" si="1">AVERAGE(B6:D6)</f>
        <v>80</v>
      </c>
      <c r="F6" s="6">
        <f t="shared" ref="F6:F16" si="2">AVERAGE($E$5:$E$16)</f>
        <v>93.722222222222229</v>
      </c>
      <c r="G6" s="1">
        <f t="shared" ref="G6:G16" si="3">E6/F6</f>
        <v>0.85358624777711911</v>
      </c>
      <c r="H6" s="1">
        <f t="shared" si="0"/>
        <v>85.35862477771191</v>
      </c>
    </row>
    <row r="7" spans="1:9" x14ac:dyDescent="0.3">
      <c r="A7" s="1" t="s">
        <v>3</v>
      </c>
      <c r="B7" s="1">
        <v>80</v>
      </c>
      <c r="C7" s="1">
        <v>93</v>
      </c>
      <c r="D7" s="1">
        <v>82</v>
      </c>
      <c r="E7" s="5">
        <f t="shared" si="1"/>
        <v>85</v>
      </c>
      <c r="F7" s="6">
        <f t="shared" si="2"/>
        <v>93.722222222222229</v>
      </c>
      <c r="G7" s="1">
        <f t="shared" si="3"/>
        <v>0.90693538826318898</v>
      </c>
      <c r="H7" s="1">
        <f t="shared" si="0"/>
        <v>90.6935388263189</v>
      </c>
    </row>
    <row r="8" spans="1:9" x14ac:dyDescent="0.3">
      <c r="A8" s="1" t="s">
        <v>4</v>
      </c>
      <c r="B8" s="1">
        <v>90</v>
      </c>
      <c r="C8" s="1">
        <v>95</v>
      </c>
      <c r="D8" s="1">
        <v>115</v>
      </c>
      <c r="E8" s="5">
        <f t="shared" si="1"/>
        <v>100</v>
      </c>
      <c r="F8" s="6">
        <f t="shared" si="2"/>
        <v>93.722222222222229</v>
      </c>
      <c r="G8" s="1">
        <f t="shared" si="3"/>
        <v>1.0669828097213989</v>
      </c>
      <c r="H8" s="1">
        <f t="shared" si="0"/>
        <v>106.6982809721399</v>
      </c>
    </row>
    <row r="9" spans="1:9" x14ac:dyDescent="0.3">
      <c r="A9" s="1" t="s">
        <v>5</v>
      </c>
      <c r="B9" s="1">
        <v>113</v>
      </c>
      <c r="C9" s="1">
        <v>125</v>
      </c>
      <c r="D9" s="1">
        <v>131</v>
      </c>
      <c r="E9" s="5">
        <f t="shared" si="1"/>
        <v>123</v>
      </c>
      <c r="F9" s="6">
        <f t="shared" si="2"/>
        <v>93.722222222222229</v>
      </c>
      <c r="G9" s="1">
        <f t="shared" si="3"/>
        <v>1.3123888559573207</v>
      </c>
      <c r="H9" s="1">
        <f t="shared" si="0"/>
        <v>131.23888559573206</v>
      </c>
    </row>
    <row r="10" spans="1:9" x14ac:dyDescent="0.3">
      <c r="A10" s="1" t="s">
        <v>6</v>
      </c>
      <c r="B10" s="1">
        <v>110</v>
      </c>
      <c r="C10" s="1">
        <v>115</v>
      </c>
      <c r="D10" s="1">
        <v>120</v>
      </c>
      <c r="E10" s="5">
        <f t="shared" si="1"/>
        <v>115</v>
      </c>
      <c r="F10" s="6">
        <f t="shared" si="2"/>
        <v>93.722222222222229</v>
      </c>
      <c r="G10" s="1">
        <f t="shared" si="3"/>
        <v>1.2270302311796086</v>
      </c>
      <c r="H10" s="1">
        <f t="shared" si="0"/>
        <v>122.70302311796087</v>
      </c>
    </row>
    <row r="11" spans="1:9" x14ac:dyDescent="0.3">
      <c r="A11" s="1" t="s">
        <v>7</v>
      </c>
      <c r="B11" s="1">
        <v>100</v>
      </c>
      <c r="C11" s="1">
        <v>102</v>
      </c>
      <c r="D11" s="1">
        <v>113</v>
      </c>
      <c r="E11" s="5">
        <f t="shared" si="1"/>
        <v>105</v>
      </c>
      <c r="F11" s="6">
        <f t="shared" si="2"/>
        <v>93.722222222222229</v>
      </c>
      <c r="G11" s="1">
        <f t="shared" si="3"/>
        <v>1.1203319502074689</v>
      </c>
      <c r="H11" s="1">
        <f t="shared" si="0"/>
        <v>112.03319502074689</v>
      </c>
    </row>
    <row r="12" spans="1:9" x14ac:dyDescent="0.3">
      <c r="A12" s="1" t="s">
        <v>8</v>
      </c>
      <c r="B12" s="1">
        <v>88</v>
      </c>
      <c r="C12" s="1">
        <v>102</v>
      </c>
      <c r="D12" s="1">
        <v>110</v>
      </c>
      <c r="E12" s="5">
        <f t="shared" si="1"/>
        <v>100</v>
      </c>
      <c r="F12" s="6">
        <f t="shared" si="2"/>
        <v>93.722222222222229</v>
      </c>
      <c r="G12" s="1">
        <f t="shared" si="3"/>
        <v>1.0669828097213989</v>
      </c>
      <c r="H12" s="1">
        <f t="shared" si="0"/>
        <v>106.6982809721399</v>
      </c>
    </row>
    <row r="13" spans="1:9" x14ac:dyDescent="0.3">
      <c r="A13" s="1" t="s">
        <v>9</v>
      </c>
      <c r="B13" s="1">
        <v>85</v>
      </c>
      <c r="C13" s="1">
        <v>90</v>
      </c>
      <c r="D13" s="1">
        <v>95</v>
      </c>
      <c r="E13" s="5">
        <f t="shared" si="1"/>
        <v>90</v>
      </c>
      <c r="F13" s="6">
        <f t="shared" si="2"/>
        <v>93.722222222222229</v>
      </c>
      <c r="G13" s="1">
        <f t="shared" si="3"/>
        <v>0.96028452874925896</v>
      </c>
      <c r="H13" s="1">
        <f t="shared" si="0"/>
        <v>96.02845287492589</v>
      </c>
    </row>
    <row r="14" spans="1:9" x14ac:dyDescent="0.3">
      <c r="A14" s="1" t="s">
        <v>10</v>
      </c>
      <c r="B14" s="1">
        <v>77</v>
      </c>
      <c r="C14" s="1">
        <v>78</v>
      </c>
      <c r="D14" s="1">
        <v>85</v>
      </c>
      <c r="E14" s="5">
        <f t="shared" si="1"/>
        <v>80</v>
      </c>
      <c r="F14" s="6">
        <f t="shared" si="2"/>
        <v>93.722222222222229</v>
      </c>
      <c r="G14" s="1">
        <f t="shared" si="3"/>
        <v>0.85358624777711911</v>
      </c>
      <c r="H14" s="1">
        <f t="shared" si="0"/>
        <v>85.35862477771191</v>
      </c>
    </row>
    <row r="15" spans="1:9" x14ac:dyDescent="0.3">
      <c r="A15" s="1" t="s">
        <v>11</v>
      </c>
      <c r="B15" s="1">
        <v>75</v>
      </c>
      <c r="C15" s="1">
        <v>72</v>
      </c>
      <c r="D15" s="1">
        <v>83</v>
      </c>
      <c r="E15" s="5">
        <f t="shared" si="1"/>
        <v>76.666666666666671</v>
      </c>
      <c r="F15" s="6">
        <f t="shared" si="2"/>
        <v>93.722222222222229</v>
      </c>
      <c r="G15" s="1">
        <f t="shared" si="3"/>
        <v>0.81802015411973916</v>
      </c>
      <c r="H15" s="1">
        <f t="shared" si="0"/>
        <v>81.802015411973912</v>
      </c>
    </row>
    <row r="16" spans="1:9" x14ac:dyDescent="0.3">
      <c r="A16" s="1" t="s">
        <v>12</v>
      </c>
      <c r="B16" s="1">
        <v>82</v>
      </c>
      <c r="C16" s="1">
        <v>78</v>
      </c>
      <c r="D16" s="1">
        <v>80</v>
      </c>
      <c r="E16" s="5">
        <f t="shared" si="1"/>
        <v>80</v>
      </c>
      <c r="F16" s="6">
        <f t="shared" si="2"/>
        <v>93.722222222222229</v>
      </c>
      <c r="G16" s="1">
        <f t="shared" si="3"/>
        <v>0.85358624777711911</v>
      </c>
      <c r="H16" s="1">
        <f t="shared" si="0"/>
        <v>85.35862477771191</v>
      </c>
    </row>
    <row r="17" spans="1:5" x14ac:dyDescent="0.3">
      <c r="A17" s="1" t="s">
        <v>42</v>
      </c>
      <c r="B17" s="1">
        <f>SUM(B5:B16)</f>
        <v>1050</v>
      </c>
      <c r="C17" s="1">
        <f t="shared" ref="C17:D17" si="4">SUM(C5:C16)</f>
        <v>1120</v>
      </c>
      <c r="D17" s="1">
        <f t="shared" si="4"/>
        <v>1204</v>
      </c>
      <c r="E17" s="5">
        <f>AVERAGE(B17:D17)</f>
        <v>1124.6666666666667</v>
      </c>
    </row>
    <row r="18" spans="1:5" x14ac:dyDescent="0.3">
      <c r="A18" s="1" t="s">
        <v>43</v>
      </c>
      <c r="B18" s="1">
        <f>B17/12</f>
        <v>87.5</v>
      </c>
      <c r="C18" s="1">
        <f t="shared" ref="C18:D18" si="5">C17/12</f>
        <v>93.333333333333329</v>
      </c>
      <c r="D18" s="1">
        <f t="shared" si="5"/>
        <v>100.33333333333333</v>
      </c>
    </row>
    <row r="21" spans="1:5" x14ac:dyDescent="0.3">
      <c r="A21" s="7" t="s">
        <v>45</v>
      </c>
      <c r="B21" s="15"/>
      <c r="C21" s="8"/>
      <c r="D21" s="1">
        <v>1200</v>
      </c>
    </row>
    <row r="22" spans="1:5" x14ac:dyDescent="0.3">
      <c r="A22" s="7" t="s">
        <v>46</v>
      </c>
      <c r="B22" s="15"/>
      <c r="C22" s="8"/>
      <c r="D22" s="1">
        <v>12</v>
      </c>
    </row>
  </sheetData>
  <mergeCells count="4">
    <mergeCell ref="A1:I1"/>
    <mergeCell ref="A2:I2"/>
    <mergeCell ref="A21:C21"/>
    <mergeCell ref="A22:C2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E7BB8-B70D-4337-8C8D-74C473901EF9}">
  <dimension ref="A1:F16"/>
  <sheetViews>
    <sheetView workbookViewId="0">
      <selection activeCell="I9" sqref="I9"/>
    </sheetView>
  </sheetViews>
  <sheetFormatPr defaultRowHeight="14.4" x14ac:dyDescent="0.3"/>
  <cols>
    <col min="1" max="1" width="13.88671875" bestFit="1" customWidth="1"/>
    <col min="2" max="2" width="10.6640625" bestFit="1" customWidth="1"/>
    <col min="6" max="6" width="21" bestFit="1" customWidth="1"/>
  </cols>
  <sheetData>
    <row r="1" spans="1:6" x14ac:dyDescent="0.3">
      <c r="A1" s="1" t="s">
        <v>52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 x14ac:dyDescent="0.3">
      <c r="A2" s="1" t="s">
        <v>53</v>
      </c>
      <c r="B2" s="17">
        <v>0.05</v>
      </c>
      <c r="C2" s="1"/>
      <c r="D2" s="1"/>
      <c r="E2" s="1"/>
      <c r="F2" s="1"/>
    </row>
    <row r="3" spans="1:6" x14ac:dyDescent="0.3">
      <c r="A3" s="1" t="s">
        <v>54</v>
      </c>
      <c r="B3" s="17">
        <v>0.01</v>
      </c>
      <c r="C3" s="17">
        <f>B2</f>
        <v>0.05</v>
      </c>
      <c r="D3" s="17">
        <f>B3-$B$12</f>
        <v>-1.0000000000000009E-3</v>
      </c>
      <c r="E3" s="17">
        <f>C3-$B$12</f>
        <v>3.9E-2</v>
      </c>
      <c r="F3" s="16">
        <f>E3*D3</f>
        <v>-3.9000000000000033E-5</v>
      </c>
    </row>
    <row r="4" spans="1:6" x14ac:dyDescent="0.3">
      <c r="A4" s="1" t="s">
        <v>55</v>
      </c>
      <c r="B4" s="17">
        <v>-0.02</v>
      </c>
      <c r="C4" s="17">
        <f t="shared" ref="C4:C11" si="0">B3</f>
        <v>0.01</v>
      </c>
      <c r="D4" s="17">
        <f t="shared" ref="D4:D11" si="1">B4-$B$12</f>
        <v>-3.1E-2</v>
      </c>
      <c r="E4" s="17">
        <f t="shared" ref="E4:E11" si="2">C4-$B$12</f>
        <v>-1.0000000000000009E-3</v>
      </c>
      <c r="F4" s="16">
        <f t="shared" ref="F4:F11" si="3">E4*D4</f>
        <v>3.1000000000000028E-5</v>
      </c>
    </row>
    <row r="5" spans="1:6" x14ac:dyDescent="0.3">
      <c r="A5" s="1" t="s">
        <v>56</v>
      </c>
      <c r="B5" s="17">
        <v>0.03</v>
      </c>
      <c r="C5" s="17">
        <f t="shared" si="0"/>
        <v>-0.02</v>
      </c>
      <c r="D5" s="17">
        <f t="shared" si="1"/>
        <v>1.8999999999999996E-2</v>
      </c>
      <c r="E5" s="17">
        <f t="shared" si="2"/>
        <v>-3.1E-2</v>
      </c>
      <c r="F5" s="16">
        <f t="shared" si="3"/>
        <v>-5.889999999999999E-4</v>
      </c>
    </row>
    <row r="6" spans="1:6" x14ac:dyDescent="0.3">
      <c r="A6" s="1" t="s">
        <v>57</v>
      </c>
      <c r="B6" s="17">
        <v>-0.04</v>
      </c>
      <c r="C6" s="17">
        <f t="shared" si="0"/>
        <v>0.03</v>
      </c>
      <c r="D6" s="17">
        <f t="shared" si="1"/>
        <v>-5.1000000000000004E-2</v>
      </c>
      <c r="E6" s="17">
        <f t="shared" si="2"/>
        <v>1.8999999999999996E-2</v>
      </c>
      <c r="F6" s="16">
        <f t="shared" si="3"/>
        <v>-9.6899999999999992E-4</v>
      </c>
    </row>
    <row r="7" spans="1:6" x14ac:dyDescent="0.3">
      <c r="A7" s="1" t="s">
        <v>58</v>
      </c>
      <c r="B7" s="17">
        <v>0.06</v>
      </c>
      <c r="C7" s="17">
        <f t="shared" si="0"/>
        <v>-0.04</v>
      </c>
      <c r="D7" s="17">
        <f t="shared" si="1"/>
        <v>4.8999999999999995E-2</v>
      </c>
      <c r="E7" s="17">
        <f t="shared" si="2"/>
        <v>-5.1000000000000004E-2</v>
      </c>
      <c r="F7" s="16">
        <f t="shared" si="3"/>
        <v>-2.4989999999999999E-3</v>
      </c>
    </row>
    <row r="8" spans="1:6" x14ac:dyDescent="0.3">
      <c r="A8" s="1" t="s">
        <v>59</v>
      </c>
      <c r="B8" s="17">
        <v>0.02</v>
      </c>
      <c r="C8" s="17">
        <f t="shared" si="0"/>
        <v>0.06</v>
      </c>
      <c r="D8" s="17">
        <f t="shared" si="1"/>
        <v>8.9999999999999993E-3</v>
      </c>
      <c r="E8" s="17">
        <f t="shared" si="2"/>
        <v>4.8999999999999995E-2</v>
      </c>
      <c r="F8" s="16">
        <f t="shared" si="3"/>
        <v>4.4099999999999993E-4</v>
      </c>
    </row>
    <row r="9" spans="1:6" x14ac:dyDescent="0.3">
      <c r="A9" s="1" t="s">
        <v>60</v>
      </c>
      <c r="B9" s="17">
        <v>-0.01</v>
      </c>
      <c r="C9" s="17">
        <f t="shared" si="0"/>
        <v>0.02</v>
      </c>
      <c r="D9" s="17">
        <f t="shared" si="1"/>
        <v>-2.1000000000000001E-2</v>
      </c>
      <c r="E9" s="17">
        <f t="shared" si="2"/>
        <v>8.9999999999999993E-3</v>
      </c>
      <c r="F9" s="16">
        <f t="shared" si="3"/>
        <v>-1.8899999999999999E-4</v>
      </c>
    </row>
    <row r="10" spans="1:6" x14ac:dyDescent="0.3">
      <c r="A10" s="1" t="s">
        <v>61</v>
      </c>
      <c r="B10" s="17">
        <v>-0.03</v>
      </c>
      <c r="C10" s="17">
        <f t="shared" si="0"/>
        <v>-0.01</v>
      </c>
      <c r="D10" s="17">
        <f t="shared" si="1"/>
        <v>-4.1000000000000002E-2</v>
      </c>
      <c r="E10" s="17">
        <f t="shared" si="2"/>
        <v>-2.1000000000000001E-2</v>
      </c>
      <c r="F10" s="16">
        <f t="shared" si="3"/>
        <v>8.6100000000000011E-4</v>
      </c>
    </row>
    <row r="11" spans="1:6" x14ac:dyDescent="0.3">
      <c r="A11" s="1" t="s">
        <v>62</v>
      </c>
      <c r="B11" s="17">
        <v>0.04</v>
      </c>
      <c r="C11" s="17">
        <f t="shared" si="0"/>
        <v>-0.03</v>
      </c>
      <c r="D11" s="17">
        <f t="shared" si="1"/>
        <v>2.8999999999999998E-2</v>
      </c>
      <c r="E11" s="17">
        <f t="shared" si="2"/>
        <v>-4.1000000000000002E-2</v>
      </c>
      <c r="F11" s="16">
        <f t="shared" si="3"/>
        <v>-1.189E-3</v>
      </c>
    </row>
    <row r="12" spans="1:6" x14ac:dyDescent="0.3">
      <c r="A12" s="1" t="s">
        <v>68</v>
      </c>
      <c r="B12" s="1">
        <f>AVERAGE(B2:B11)</f>
        <v>1.1000000000000001E-2</v>
      </c>
      <c r="F12" s="16">
        <f>SUM(F3:F11)</f>
        <v>-4.1409999999999988E-3</v>
      </c>
    </row>
    <row r="14" spans="1:6" x14ac:dyDescent="0.3">
      <c r="A14" s="1" t="s">
        <v>69</v>
      </c>
      <c r="B14" s="16">
        <f>AVERAGE(F3:F11)</f>
        <v>-4.6011111111111101E-4</v>
      </c>
    </row>
    <row r="15" spans="1:6" x14ac:dyDescent="0.3">
      <c r="A15" s="1" t="s">
        <v>70</v>
      </c>
      <c r="B15" s="1">
        <f>_xlfn.VAR.P(B2:B11)</f>
        <v>1.0889999999999999E-3</v>
      </c>
    </row>
    <row r="16" spans="1:6" x14ac:dyDescent="0.3">
      <c r="A16" s="1" t="s">
        <v>71</v>
      </c>
      <c r="B16" s="1">
        <f>B14/B15</f>
        <v>-0.42250790735639215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Mpstme Student</dc:creator>
  <cp:lastModifiedBy>Dhanesh Shah</cp:lastModifiedBy>
  <dcterms:created xsi:type="dcterms:W3CDTF">2026-08-11T03:58:27Z</dcterms:created>
  <dcterms:modified xsi:type="dcterms:W3CDTF">2026-08-11T17:06:30Z</dcterms:modified>
</cp:coreProperties>
</file>