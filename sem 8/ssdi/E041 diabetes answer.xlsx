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 Parekh\OneDrive\Desktop\"/>
    </mc:Choice>
  </mc:AlternateContent>
  <xr:revisionPtr revIDLastSave="0" documentId="8_{530DACF3-40D6-442B-B4B9-427623B2B12C}" xr6:coauthVersionLast="47" xr6:coauthVersionMax="47" xr10:uidLastSave="{00000000-0000-0000-0000-000000000000}"/>
  <bookViews>
    <workbookView xWindow="-108" yWindow="-108" windowWidth="23256" windowHeight="12456" xr2:uid="{D3AFFB82-C8E8-49B7-BC88-869E97A32313}"/>
  </bookViews>
  <sheets>
    <sheet name="diabetes" sheetId="1" r:id="rId1"/>
    <sheet name="Sheet1" sheetId="2" r:id="rId2"/>
    <sheet name="Sheet2" sheetId="3" r:id="rId3"/>
  </sheets>
  <definedNames>
    <definedName name="_xlnm._FilterDatabase" localSheetId="0" hidden="1">diabetes!$A$1:$M$701</definedName>
    <definedName name="_xlnm._FilterDatabase" localSheetId="2" hidden="1">Sheet2!$A$1:$I$32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O3" i="1"/>
  <c r="S1" i="1"/>
  <c r="R2" i="1"/>
  <c r="S2" i="1"/>
  <c r="O5" i="1"/>
  <c r="J33" i="1"/>
  <c r="J327" i="1"/>
  <c r="J329" i="1"/>
  <c r="J518" i="1"/>
  <c r="J554" i="1"/>
  <c r="J556" i="1"/>
  <c r="J590" i="1"/>
  <c r="K381" i="1"/>
  <c r="J366" i="1" l="1"/>
  <c r="J100" i="1"/>
  <c r="J283" i="1"/>
  <c r="J48" i="1"/>
  <c r="K254" i="1"/>
  <c r="K59" i="1"/>
  <c r="J34" i="1"/>
  <c r="J55" i="1"/>
  <c r="J106" i="1"/>
  <c r="J151" i="1"/>
  <c r="J199" i="1"/>
  <c r="J244" i="1"/>
  <c r="J288" i="1"/>
  <c r="J330" i="1"/>
  <c r="J369" i="1"/>
  <c r="J408" i="1"/>
  <c r="J448" i="1"/>
  <c r="J485" i="1"/>
  <c r="J521" i="1"/>
  <c r="J557" i="1"/>
  <c r="J593" i="1"/>
  <c r="J629" i="1"/>
  <c r="J665" i="1"/>
  <c r="J494" i="1"/>
  <c r="J57" i="1"/>
  <c r="J107" i="1"/>
  <c r="J153" i="1"/>
  <c r="J201" i="1"/>
  <c r="J245" i="1"/>
  <c r="J289" i="1"/>
  <c r="J331" i="1"/>
  <c r="J370" i="1"/>
  <c r="J410" i="1"/>
  <c r="J449" i="1"/>
  <c r="J486" i="1"/>
  <c r="J522" i="1"/>
  <c r="J558" i="1"/>
  <c r="J594" i="1"/>
  <c r="J630" i="1"/>
  <c r="J666" i="1"/>
  <c r="J2" i="1"/>
  <c r="J530" i="1"/>
  <c r="J69" i="1"/>
  <c r="J118" i="1"/>
  <c r="J163" i="1"/>
  <c r="J211" i="1"/>
  <c r="J255" i="1"/>
  <c r="J298" i="1"/>
  <c r="J340" i="1"/>
  <c r="J379" i="1"/>
  <c r="J418" i="1"/>
  <c r="J458" i="1"/>
  <c r="J566" i="1"/>
  <c r="J602" i="1"/>
  <c r="J638" i="1"/>
  <c r="J674" i="1"/>
  <c r="J71" i="1"/>
  <c r="J120" i="1"/>
  <c r="J166" i="1"/>
  <c r="J214" i="1"/>
  <c r="J257" i="1"/>
  <c r="J301" i="1"/>
  <c r="J342" i="1"/>
  <c r="J381" i="1"/>
  <c r="L381" i="1" s="1"/>
  <c r="M381" i="1" s="1"/>
  <c r="J420" i="1"/>
  <c r="J460" i="1"/>
  <c r="J496" i="1"/>
  <c r="J532" i="1"/>
  <c r="J568" i="1"/>
  <c r="J604" i="1"/>
  <c r="J640" i="1"/>
  <c r="J676" i="1"/>
  <c r="J3" i="1"/>
  <c r="J353" i="1"/>
  <c r="J578" i="1"/>
  <c r="J72" i="1"/>
  <c r="J121" i="1"/>
  <c r="J167" i="1"/>
  <c r="J215" i="1"/>
  <c r="J258" i="1"/>
  <c r="J302" i="1"/>
  <c r="J343" i="1"/>
  <c r="J382" i="1"/>
  <c r="J422" i="1"/>
  <c r="J461" i="1"/>
  <c r="J497" i="1"/>
  <c r="J533" i="1"/>
  <c r="J569" i="1"/>
  <c r="J605" i="1"/>
  <c r="J641" i="1"/>
  <c r="J313" i="1"/>
  <c r="J9" i="1"/>
  <c r="J73" i="1"/>
  <c r="J122" i="1"/>
  <c r="J170" i="1"/>
  <c r="J216" i="1"/>
  <c r="J261" i="1"/>
  <c r="J303" i="1"/>
  <c r="J344" i="1"/>
  <c r="J383" i="1"/>
  <c r="J423" i="1"/>
  <c r="J462" i="1"/>
  <c r="J498" i="1"/>
  <c r="J534" i="1"/>
  <c r="J570" i="1"/>
  <c r="J606" i="1"/>
  <c r="J642" i="1"/>
  <c r="J269" i="1"/>
  <c r="J650" i="1"/>
  <c r="J15" i="1"/>
  <c r="J85" i="1"/>
  <c r="J133" i="1"/>
  <c r="J179" i="1"/>
  <c r="J227" i="1"/>
  <c r="J392" i="1"/>
  <c r="J431" i="1"/>
  <c r="J470" i="1"/>
  <c r="J506" i="1"/>
  <c r="J542" i="1"/>
  <c r="J614" i="1"/>
  <c r="J16" i="1"/>
  <c r="J87" i="1"/>
  <c r="J135" i="1"/>
  <c r="J183" i="1"/>
  <c r="J229" i="1"/>
  <c r="J271" i="1"/>
  <c r="J315" i="1"/>
  <c r="J355" i="1"/>
  <c r="J394" i="1"/>
  <c r="J434" i="1"/>
  <c r="J472" i="1"/>
  <c r="J508" i="1"/>
  <c r="J544" i="1"/>
  <c r="J580" i="1"/>
  <c r="J616" i="1"/>
  <c r="J652" i="1"/>
  <c r="J17" i="1"/>
  <c r="J88" i="1"/>
  <c r="J136" i="1"/>
  <c r="J184" i="1"/>
  <c r="J230" i="1"/>
  <c r="J274" i="1"/>
  <c r="J316" i="1"/>
  <c r="J356" i="1"/>
  <c r="J395" i="1"/>
  <c r="J435" i="1"/>
  <c r="J473" i="1"/>
  <c r="J509" i="1"/>
  <c r="J545" i="1"/>
  <c r="J581" i="1"/>
  <c r="J617" i="1"/>
  <c r="J653" i="1"/>
  <c r="J30" i="1"/>
  <c r="J91" i="1"/>
  <c r="J137" i="1"/>
  <c r="J185" i="1"/>
  <c r="J231" i="1"/>
  <c r="J275" i="1"/>
  <c r="J317" i="1"/>
  <c r="J357" i="1"/>
  <c r="J396" i="1"/>
  <c r="J436" i="1"/>
  <c r="J474" i="1"/>
  <c r="J510" i="1"/>
  <c r="J546" i="1"/>
  <c r="J582" i="1"/>
  <c r="J618" i="1"/>
  <c r="J654" i="1"/>
  <c r="J520" i="1"/>
  <c r="J287" i="1"/>
  <c r="K669" i="1"/>
  <c r="K668" i="1"/>
  <c r="K591" i="1"/>
  <c r="J484" i="1"/>
  <c r="J243" i="1"/>
  <c r="J698" i="1"/>
  <c r="J482" i="1"/>
  <c r="J241" i="1"/>
  <c r="K590" i="1"/>
  <c r="L590" i="1" s="1"/>
  <c r="M590" i="1" s="1"/>
  <c r="J664" i="1"/>
  <c r="J447" i="1"/>
  <c r="J198" i="1"/>
  <c r="K508" i="1"/>
  <c r="J662" i="1"/>
  <c r="J444" i="1"/>
  <c r="J196" i="1"/>
  <c r="K499" i="1"/>
  <c r="J628" i="1"/>
  <c r="J407" i="1"/>
  <c r="J150" i="1"/>
  <c r="K390" i="1"/>
  <c r="K75" i="1"/>
  <c r="K76" i="1"/>
  <c r="K267" i="1"/>
  <c r="K392" i="1"/>
  <c r="K510" i="1"/>
  <c r="K598" i="1"/>
  <c r="K676" i="1"/>
  <c r="K78" i="1"/>
  <c r="K298" i="1"/>
  <c r="K418" i="1"/>
  <c r="K535" i="1"/>
  <c r="K614" i="1"/>
  <c r="K139" i="1"/>
  <c r="K302" i="1"/>
  <c r="K421" i="1"/>
  <c r="K537" i="1"/>
  <c r="K616" i="1"/>
  <c r="K140" i="1"/>
  <c r="K310" i="1"/>
  <c r="K429" i="1"/>
  <c r="K538" i="1"/>
  <c r="K617" i="1"/>
  <c r="K141" i="1"/>
  <c r="K314" i="1"/>
  <c r="K431" i="1"/>
  <c r="K546" i="1"/>
  <c r="K625" i="1"/>
  <c r="K188" i="1"/>
  <c r="K340" i="1"/>
  <c r="K458" i="1"/>
  <c r="K561" i="1"/>
  <c r="K640" i="1"/>
  <c r="K202" i="1"/>
  <c r="K342" i="1"/>
  <c r="K460" i="1"/>
  <c r="K563" i="1"/>
  <c r="K642" i="1"/>
  <c r="K203" i="1"/>
  <c r="K351" i="1"/>
  <c r="K469" i="1"/>
  <c r="K565" i="1"/>
  <c r="K643" i="1"/>
  <c r="K206" i="1"/>
  <c r="K353" i="1"/>
  <c r="K471" i="1"/>
  <c r="K572" i="1"/>
  <c r="K651" i="1"/>
  <c r="K250" i="1"/>
  <c r="K379" i="1"/>
  <c r="K497" i="1"/>
  <c r="K587" i="1"/>
  <c r="K666" i="1"/>
  <c r="J626" i="1"/>
  <c r="J405" i="1"/>
  <c r="J148" i="1"/>
  <c r="J592" i="1"/>
  <c r="J368" i="1"/>
  <c r="J105" i="1"/>
  <c r="K263" i="1"/>
  <c r="K28" i="1"/>
  <c r="K124" i="1"/>
  <c r="J54" i="1"/>
  <c r="J35" i="1"/>
  <c r="J675" i="1"/>
  <c r="J663" i="1"/>
  <c r="J651" i="1"/>
  <c r="J639" i="1"/>
  <c r="J627" i="1"/>
  <c r="J615" i="1"/>
  <c r="J603" i="1"/>
  <c r="J591" i="1"/>
  <c r="J579" i="1"/>
  <c r="J567" i="1"/>
  <c r="J555" i="1"/>
  <c r="J543" i="1"/>
  <c r="J531" i="1"/>
  <c r="J519" i="1"/>
  <c r="J507" i="1"/>
  <c r="J495" i="1"/>
  <c r="J483" i="1"/>
  <c r="J471" i="1"/>
  <c r="J459" i="1"/>
  <c r="J446" i="1"/>
  <c r="J432" i="1"/>
  <c r="J419" i="1"/>
  <c r="J406" i="1"/>
  <c r="J393" i="1"/>
  <c r="J380" i="1"/>
  <c r="J367" i="1"/>
  <c r="J354" i="1"/>
  <c r="J341" i="1"/>
  <c r="J328" i="1"/>
  <c r="J314" i="1"/>
  <c r="L314" i="1" s="1"/>
  <c r="M314" i="1" s="1"/>
  <c r="J300" i="1"/>
  <c r="J285" i="1"/>
  <c r="J270" i="1"/>
  <c r="J256" i="1"/>
  <c r="J242" i="1"/>
  <c r="J228" i="1"/>
  <c r="J213" i="1"/>
  <c r="J197" i="1"/>
  <c r="J180" i="1"/>
  <c r="J165" i="1"/>
  <c r="J149" i="1"/>
  <c r="J134" i="1"/>
  <c r="J119" i="1"/>
  <c r="J101" i="1"/>
  <c r="J86" i="1"/>
  <c r="J70" i="1"/>
  <c r="J53" i="1"/>
  <c r="J31" i="1"/>
  <c r="J14" i="1"/>
  <c r="K667" i="1"/>
  <c r="K641" i="1"/>
  <c r="K615" i="1"/>
  <c r="K589" i="1"/>
  <c r="K562" i="1"/>
  <c r="K536" i="1"/>
  <c r="K498" i="1"/>
  <c r="K459" i="1"/>
  <c r="K419" i="1"/>
  <c r="K380" i="1"/>
  <c r="K341" i="1"/>
  <c r="K299" i="1"/>
  <c r="K251" i="1"/>
  <c r="K189" i="1"/>
  <c r="K126" i="1"/>
  <c r="K62" i="1"/>
  <c r="J685" i="1"/>
  <c r="J661" i="1"/>
  <c r="J637" i="1"/>
  <c r="J625" i="1"/>
  <c r="J613" i="1"/>
  <c r="J589" i="1"/>
  <c r="J577" i="1"/>
  <c r="J565" i="1"/>
  <c r="J553" i="1"/>
  <c r="J541" i="1"/>
  <c r="J529" i="1"/>
  <c r="J517" i="1"/>
  <c r="J493" i="1"/>
  <c r="J481" i="1"/>
  <c r="J469" i="1"/>
  <c r="L469" i="1" s="1"/>
  <c r="M469" i="1" s="1"/>
  <c r="J456" i="1"/>
  <c r="J443" i="1"/>
  <c r="J430" i="1"/>
  <c r="J417" i="1"/>
  <c r="J404" i="1"/>
  <c r="J391" i="1"/>
  <c r="J378" i="1"/>
  <c r="J365" i="1"/>
  <c r="J352" i="1"/>
  <c r="J339" i="1"/>
  <c r="J326" i="1"/>
  <c r="J311" i="1"/>
  <c r="J297" i="1"/>
  <c r="J282" i="1"/>
  <c r="J268" i="1"/>
  <c r="J254" i="1"/>
  <c r="L254" i="1" s="1"/>
  <c r="M254" i="1" s="1"/>
  <c r="J240" i="1"/>
  <c r="J226" i="1"/>
  <c r="J210" i="1"/>
  <c r="J193" i="1"/>
  <c r="J178" i="1"/>
  <c r="J162" i="1"/>
  <c r="J147" i="1"/>
  <c r="J132" i="1"/>
  <c r="J114" i="1"/>
  <c r="J99" i="1"/>
  <c r="J84" i="1"/>
  <c r="J67" i="1"/>
  <c r="J47" i="1"/>
  <c r="J29" i="1"/>
  <c r="J7" i="1"/>
  <c r="K665" i="1"/>
  <c r="K639" i="1"/>
  <c r="K613" i="1"/>
  <c r="K586" i="1"/>
  <c r="K560" i="1"/>
  <c r="K534" i="1"/>
  <c r="K495" i="1"/>
  <c r="K455" i="1"/>
  <c r="K416" i="1"/>
  <c r="K377" i="1"/>
  <c r="K338" i="1"/>
  <c r="K296" i="1"/>
  <c r="K248" i="1"/>
  <c r="K187" i="1"/>
  <c r="K123" i="1"/>
  <c r="K58" i="1"/>
  <c r="J673" i="1"/>
  <c r="J649" i="1"/>
  <c r="J601" i="1"/>
  <c r="J505" i="1"/>
  <c r="J672" i="1"/>
  <c r="J660" i="1"/>
  <c r="J648" i="1"/>
  <c r="J636" i="1"/>
  <c r="J624" i="1"/>
  <c r="J612" i="1"/>
  <c r="J600" i="1"/>
  <c r="J588" i="1"/>
  <c r="J576" i="1"/>
  <c r="J564" i="1"/>
  <c r="J552" i="1"/>
  <c r="J540" i="1"/>
  <c r="J528" i="1"/>
  <c r="J516" i="1"/>
  <c r="J504" i="1"/>
  <c r="J492" i="1"/>
  <c r="J480" i="1"/>
  <c r="J468" i="1"/>
  <c r="J455" i="1"/>
  <c r="J442" i="1"/>
  <c r="J429" i="1"/>
  <c r="J416" i="1"/>
  <c r="L416" i="1" s="1"/>
  <c r="M416" i="1" s="1"/>
  <c r="J403" i="1"/>
  <c r="J390" i="1"/>
  <c r="J377" i="1"/>
  <c r="L377" i="1" s="1"/>
  <c r="M377" i="1" s="1"/>
  <c r="J364" i="1"/>
  <c r="J351" i="1"/>
  <c r="J338" i="1"/>
  <c r="J324" i="1"/>
  <c r="J310" i="1"/>
  <c r="J295" i="1"/>
  <c r="J281" i="1"/>
  <c r="J267" i="1"/>
  <c r="J253" i="1"/>
  <c r="J239" i="1"/>
  <c r="J225" i="1"/>
  <c r="J209" i="1"/>
  <c r="J192" i="1"/>
  <c r="J177" i="1"/>
  <c r="J161" i="1"/>
  <c r="J146" i="1"/>
  <c r="J131" i="1"/>
  <c r="J113" i="1"/>
  <c r="J98" i="1"/>
  <c r="J83" i="1"/>
  <c r="J66" i="1"/>
  <c r="J46" i="1"/>
  <c r="J28" i="1"/>
  <c r="J6" i="1"/>
  <c r="K664" i="1"/>
  <c r="K638" i="1"/>
  <c r="K611" i="1"/>
  <c r="K585" i="1"/>
  <c r="K559" i="1"/>
  <c r="K525" i="1"/>
  <c r="K486" i="1"/>
  <c r="K447" i="1"/>
  <c r="K407" i="1"/>
  <c r="K368" i="1"/>
  <c r="K329" i="1"/>
  <c r="L329" i="1" s="1"/>
  <c r="M329" i="1" s="1"/>
  <c r="K285" i="1"/>
  <c r="K237" i="1"/>
  <c r="K174" i="1"/>
  <c r="K110" i="1"/>
  <c r="K45" i="1"/>
  <c r="J671" i="1"/>
  <c r="J659" i="1"/>
  <c r="J647" i="1"/>
  <c r="J635" i="1"/>
  <c r="J623" i="1"/>
  <c r="J611" i="1"/>
  <c r="J599" i="1"/>
  <c r="J587" i="1"/>
  <c r="J575" i="1"/>
  <c r="J563" i="1"/>
  <c r="J551" i="1"/>
  <c r="J539" i="1"/>
  <c r="J527" i="1"/>
  <c r="J515" i="1"/>
  <c r="J503" i="1"/>
  <c r="J491" i="1"/>
  <c r="J479" i="1"/>
  <c r="J467" i="1"/>
  <c r="J454" i="1"/>
  <c r="J441" i="1"/>
  <c r="J428" i="1"/>
  <c r="J415" i="1"/>
  <c r="J402" i="1"/>
  <c r="J389" i="1"/>
  <c r="J376" i="1"/>
  <c r="J363" i="1"/>
  <c r="J350" i="1"/>
  <c r="J336" i="1"/>
  <c r="J323" i="1"/>
  <c r="J309" i="1"/>
  <c r="J294" i="1"/>
  <c r="J280" i="1"/>
  <c r="J266" i="1"/>
  <c r="J252" i="1"/>
  <c r="J238" i="1"/>
  <c r="J223" i="1"/>
  <c r="J206" i="1"/>
  <c r="J191" i="1"/>
  <c r="J175" i="1"/>
  <c r="J160" i="1"/>
  <c r="J145" i="1"/>
  <c r="J127" i="1"/>
  <c r="J112" i="1"/>
  <c r="J97" i="1"/>
  <c r="J82" i="1"/>
  <c r="J65" i="1"/>
  <c r="J45" i="1"/>
  <c r="J27" i="1"/>
  <c r="J5" i="1"/>
  <c r="K656" i="1"/>
  <c r="K630" i="1"/>
  <c r="K604" i="1"/>
  <c r="K578" i="1"/>
  <c r="K551" i="1"/>
  <c r="K524" i="1"/>
  <c r="K485" i="1"/>
  <c r="K446" i="1"/>
  <c r="K406" i="1"/>
  <c r="K367" i="1"/>
  <c r="K328" i="1"/>
  <c r="K284" i="1"/>
  <c r="K236" i="1"/>
  <c r="K172" i="1"/>
  <c r="K107" i="1"/>
  <c r="K44" i="1"/>
  <c r="J670" i="1"/>
  <c r="J658" i="1"/>
  <c r="J634" i="1"/>
  <c r="J610" i="1"/>
  <c r="J586" i="1"/>
  <c r="J574" i="1"/>
  <c r="J550" i="1"/>
  <c r="J538" i="1"/>
  <c r="L538" i="1" s="1"/>
  <c r="M538" i="1" s="1"/>
  <c r="J526" i="1"/>
  <c r="J514" i="1"/>
  <c r="J502" i="1"/>
  <c r="J490" i="1"/>
  <c r="J478" i="1"/>
  <c r="J466" i="1"/>
  <c r="J453" i="1"/>
  <c r="J440" i="1"/>
  <c r="J414" i="1"/>
  <c r="J401" i="1"/>
  <c r="J388" i="1"/>
  <c r="J375" i="1"/>
  <c r="J362" i="1"/>
  <c r="J348" i="1"/>
  <c r="J335" i="1"/>
  <c r="J322" i="1"/>
  <c r="J307" i="1"/>
  <c r="J293" i="1"/>
  <c r="J279" i="1"/>
  <c r="J265" i="1"/>
  <c r="J251" i="1"/>
  <c r="J237" i="1"/>
  <c r="J222" i="1"/>
  <c r="J205" i="1"/>
  <c r="J190" i="1"/>
  <c r="J174" i="1"/>
  <c r="J159" i="1"/>
  <c r="J144" i="1"/>
  <c r="J126" i="1"/>
  <c r="J111" i="1"/>
  <c r="J96" i="1"/>
  <c r="J81" i="1"/>
  <c r="J61" i="1"/>
  <c r="J43" i="1"/>
  <c r="J22" i="1"/>
  <c r="J4" i="1"/>
  <c r="K680" i="1"/>
  <c r="K655" i="1"/>
  <c r="K629" i="1"/>
  <c r="K603" i="1"/>
  <c r="K577" i="1"/>
  <c r="K550" i="1"/>
  <c r="K523" i="1"/>
  <c r="K484" i="1"/>
  <c r="K445" i="1"/>
  <c r="K405" i="1"/>
  <c r="K366" i="1"/>
  <c r="L366" i="1" s="1"/>
  <c r="M366" i="1" s="1"/>
  <c r="K327" i="1"/>
  <c r="L327" i="1" s="1"/>
  <c r="M327" i="1" s="1"/>
  <c r="K283" i="1"/>
  <c r="L283" i="1" s="1"/>
  <c r="M283" i="1" s="1"/>
  <c r="K235" i="1"/>
  <c r="K171" i="1"/>
  <c r="K106" i="1"/>
  <c r="K43" i="1"/>
  <c r="J646" i="1"/>
  <c r="J622" i="1"/>
  <c r="J598" i="1"/>
  <c r="J562" i="1"/>
  <c r="J427" i="1"/>
  <c r="J669" i="1"/>
  <c r="J657" i="1"/>
  <c r="J645" i="1"/>
  <c r="J633" i="1"/>
  <c r="J621" i="1"/>
  <c r="J609" i="1"/>
  <c r="J597" i="1"/>
  <c r="J585" i="1"/>
  <c r="J573" i="1"/>
  <c r="J561" i="1"/>
  <c r="L561" i="1" s="1"/>
  <c r="M561" i="1" s="1"/>
  <c r="J549" i="1"/>
  <c r="J537" i="1"/>
  <c r="J525" i="1"/>
  <c r="L525" i="1" s="1"/>
  <c r="M525" i="1" s="1"/>
  <c r="J513" i="1"/>
  <c r="J501" i="1"/>
  <c r="J489" i="1"/>
  <c r="J477" i="1"/>
  <c r="J465" i="1"/>
  <c r="J452" i="1"/>
  <c r="J439" i="1"/>
  <c r="J426" i="1"/>
  <c r="J413" i="1"/>
  <c r="J400" i="1"/>
  <c r="J387" i="1"/>
  <c r="J374" i="1"/>
  <c r="J360" i="1"/>
  <c r="J347" i="1"/>
  <c r="J334" i="1"/>
  <c r="J321" i="1"/>
  <c r="J306" i="1"/>
  <c r="J292" i="1"/>
  <c r="J278" i="1"/>
  <c r="J264" i="1"/>
  <c r="J250" i="1"/>
  <c r="J235" i="1"/>
  <c r="J219" i="1"/>
  <c r="J204" i="1"/>
  <c r="J189" i="1"/>
  <c r="J173" i="1"/>
  <c r="J158" i="1"/>
  <c r="J141" i="1"/>
  <c r="J125" i="1"/>
  <c r="J110" i="1"/>
  <c r="J95" i="1"/>
  <c r="J79" i="1"/>
  <c r="J60" i="1"/>
  <c r="J42" i="1"/>
  <c r="J21" i="1"/>
  <c r="K654" i="1"/>
  <c r="K628" i="1"/>
  <c r="K602" i="1"/>
  <c r="K575" i="1"/>
  <c r="K549" i="1"/>
  <c r="K521" i="1"/>
  <c r="K482" i="1"/>
  <c r="K442" i="1"/>
  <c r="K403" i="1"/>
  <c r="K364" i="1"/>
  <c r="K325" i="1"/>
  <c r="K280" i="1"/>
  <c r="K222" i="1"/>
  <c r="K158" i="1"/>
  <c r="K93" i="1"/>
  <c r="K30" i="1"/>
  <c r="J8" i="1"/>
  <c r="J20" i="1"/>
  <c r="J32" i="1"/>
  <c r="J44" i="1"/>
  <c r="J56" i="1"/>
  <c r="J68" i="1"/>
  <c r="J80" i="1"/>
  <c r="J92" i="1"/>
  <c r="J104" i="1"/>
  <c r="J116" i="1"/>
  <c r="J128" i="1"/>
  <c r="J140" i="1"/>
  <c r="L140" i="1" s="1"/>
  <c r="M140" i="1" s="1"/>
  <c r="J152" i="1"/>
  <c r="J164" i="1"/>
  <c r="J176" i="1"/>
  <c r="J188" i="1"/>
  <c r="L188" i="1" s="1"/>
  <c r="M188" i="1" s="1"/>
  <c r="J200" i="1"/>
  <c r="J212" i="1"/>
  <c r="J224" i="1"/>
  <c r="J236" i="1"/>
  <c r="J248" i="1"/>
  <c r="J260" i="1"/>
  <c r="J272" i="1"/>
  <c r="J284" i="1"/>
  <c r="J296" i="1"/>
  <c r="J308" i="1"/>
  <c r="J320" i="1"/>
  <c r="J10" i="1"/>
  <c r="J23" i="1"/>
  <c r="J36" i="1"/>
  <c r="J49" i="1"/>
  <c r="J62" i="1"/>
  <c r="J75" i="1"/>
  <c r="L75" i="1" s="1"/>
  <c r="M75" i="1" s="1"/>
  <c r="J11" i="1"/>
  <c r="J24" i="1"/>
  <c r="J37" i="1"/>
  <c r="J50" i="1"/>
  <c r="J63" i="1"/>
  <c r="J76" i="1"/>
  <c r="J89" i="1"/>
  <c r="J102" i="1"/>
  <c r="J115" i="1"/>
  <c r="J129" i="1"/>
  <c r="J142" i="1"/>
  <c r="J155" i="1"/>
  <c r="J168" i="1"/>
  <c r="J181" i="1"/>
  <c r="J194" i="1"/>
  <c r="J207" i="1"/>
  <c r="J220" i="1"/>
  <c r="J233" i="1"/>
  <c r="J246" i="1"/>
  <c r="J259" i="1"/>
  <c r="J273" i="1"/>
  <c r="J286" i="1"/>
  <c r="J299" i="1"/>
  <c r="L299" i="1" s="1"/>
  <c r="M299" i="1" s="1"/>
  <c r="J312" i="1"/>
  <c r="J325" i="1"/>
  <c r="J337" i="1"/>
  <c r="J349" i="1"/>
  <c r="J361" i="1"/>
  <c r="J373" i="1"/>
  <c r="J385" i="1"/>
  <c r="J397" i="1"/>
  <c r="J409" i="1"/>
  <c r="J421" i="1"/>
  <c r="J433" i="1"/>
  <c r="J445" i="1"/>
  <c r="J457" i="1"/>
  <c r="J12" i="1"/>
  <c r="J25" i="1"/>
  <c r="J38" i="1"/>
  <c r="J51" i="1"/>
  <c r="J64" i="1"/>
  <c r="J77" i="1"/>
  <c r="J90" i="1"/>
  <c r="J103" i="1"/>
  <c r="J117" i="1"/>
  <c r="J130" i="1"/>
  <c r="J143" i="1"/>
  <c r="J156" i="1"/>
  <c r="J169" i="1"/>
  <c r="J182" i="1"/>
  <c r="J195" i="1"/>
  <c r="J208" i="1"/>
  <c r="J221" i="1"/>
  <c r="J13" i="1"/>
  <c r="J26" i="1"/>
  <c r="J39" i="1"/>
  <c r="J52" i="1"/>
  <c r="J680" i="1"/>
  <c r="L680" i="1" s="1"/>
  <c r="M680" i="1" s="1"/>
  <c r="J668" i="1"/>
  <c r="J656" i="1"/>
  <c r="J644" i="1"/>
  <c r="J632" i="1"/>
  <c r="J620" i="1"/>
  <c r="J608" i="1"/>
  <c r="J596" i="1"/>
  <c r="J584" i="1"/>
  <c r="J572" i="1"/>
  <c r="J560" i="1"/>
  <c r="J548" i="1"/>
  <c r="J536" i="1"/>
  <c r="J524" i="1"/>
  <c r="J512" i="1"/>
  <c r="J500" i="1"/>
  <c r="J488" i="1"/>
  <c r="J476" i="1"/>
  <c r="J464" i="1"/>
  <c r="J451" i="1"/>
  <c r="J438" i="1"/>
  <c r="J425" i="1"/>
  <c r="J412" i="1"/>
  <c r="J399" i="1"/>
  <c r="J386" i="1"/>
  <c r="J372" i="1"/>
  <c r="J359" i="1"/>
  <c r="J346" i="1"/>
  <c r="J333" i="1"/>
  <c r="J319" i="1"/>
  <c r="J305" i="1"/>
  <c r="J291" i="1"/>
  <c r="J277" i="1"/>
  <c r="J263" i="1"/>
  <c r="J249" i="1"/>
  <c r="J234" i="1"/>
  <c r="J218" i="1"/>
  <c r="J203" i="1"/>
  <c r="J187" i="1"/>
  <c r="L187" i="1" s="1"/>
  <c r="M187" i="1" s="1"/>
  <c r="J172" i="1"/>
  <c r="L172" i="1" s="1"/>
  <c r="M172" i="1" s="1"/>
  <c r="J157" i="1"/>
  <c r="J139" i="1"/>
  <c r="J124" i="1"/>
  <c r="J109" i="1"/>
  <c r="J94" i="1"/>
  <c r="J78" i="1"/>
  <c r="J59" i="1"/>
  <c r="L59" i="1" s="1"/>
  <c r="M59" i="1" s="1"/>
  <c r="J41" i="1"/>
  <c r="J19" i="1"/>
  <c r="K2" i="1"/>
  <c r="K653" i="1"/>
  <c r="K627" i="1"/>
  <c r="K601" i="1"/>
  <c r="K574" i="1"/>
  <c r="K548" i="1"/>
  <c r="K512" i="1"/>
  <c r="K473" i="1"/>
  <c r="K434" i="1"/>
  <c r="K394" i="1"/>
  <c r="K355" i="1"/>
  <c r="K316" i="1"/>
  <c r="K270" i="1"/>
  <c r="K220" i="1"/>
  <c r="K155" i="1"/>
  <c r="K92" i="1"/>
  <c r="K3" i="1"/>
  <c r="K4" i="1"/>
  <c r="K5" i="1"/>
  <c r="K17" i="1"/>
  <c r="K29" i="1"/>
  <c r="K41" i="1"/>
  <c r="K53" i="1"/>
  <c r="K65" i="1"/>
  <c r="K77" i="1"/>
  <c r="K89" i="1"/>
  <c r="K101" i="1"/>
  <c r="K113" i="1"/>
  <c r="K125" i="1"/>
  <c r="K137" i="1"/>
  <c r="K149" i="1"/>
  <c r="K161" i="1"/>
  <c r="K173" i="1"/>
  <c r="K185" i="1"/>
  <c r="K197" i="1"/>
  <c r="K209" i="1"/>
  <c r="K221" i="1"/>
  <c r="K233" i="1"/>
  <c r="K245" i="1"/>
  <c r="K257" i="1"/>
  <c r="K269" i="1"/>
  <c r="K281" i="1"/>
  <c r="K293" i="1"/>
  <c r="K6" i="1"/>
  <c r="K7" i="1"/>
  <c r="K8" i="1"/>
  <c r="K9" i="1"/>
  <c r="K10" i="1"/>
  <c r="K11" i="1"/>
  <c r="K12" i="1"/>
  <c r="K24" i="1"/>
  <c r="K36" i="1"/>
  <c r="K48" i="1"/>
  <c r="L48" i="1" s="1"/>
  <c r="M48" i="1" s="1"/>
  <c r="K60" i="1"/>
  <c r="K72" i="1"/>
  <c r="K84" i="1"/>
  <c r="K96" i="1"/>
  <c r="K108" i="1"/>
  <c r="K120" i="1"/>
  <c r="K132" i="1"/>
  <c r="K144" i="1"/>
  <c r="K156" i="1"/>
  <c r="K168" i="1"/>
  <c r="K180" i="1"/>
  <c r="K192" i="1"/>
  <c r="K204" i="1"/>
  <c r="K216" i="1"/>
  <c r="K228" i="1"/>
  <c r="K240" i="1"/>
  <c r="K252" i="1"/>
  <c r="K264" i="1"/>
  <c r="K276" i="1"/>
  <c r="K288" i="1"/>
  <c r="K300" i="1"/>
  <c r="K312" i="1"/>
  <c r="K324" i="1"/>
  <c r="K336" i="1"/>
  <c r="K348" i="1"/>
  <c r="K360" i="1"/>
  <c r="K372" i="1"/>
  <c r="K384" i="1"/>
  <c r="K396" i="1"/>
  <c r="K408" i="1"/>
  <c r="K420" i="1"/>
  <c r="K432" i="1"/>
  <c r="K444" i="1"/>
  <c r="K456" i="1"/>
  <c r="K468" i="1"/>
  <c r="K480" i="1"/>
  <c r="K492" i="1"/>
  <c r="K504" i="1"/>
  <c r="K516" i="1"/>
  <c r="K528" i="1"/>
  <c r="K540" i="1"/>
  <c r="K552" i="1"/>
  <c r="K564" i="1"/>
  <c r="K576" i="1"/>
  <c r="K588" i="1"/>
  <c r="K600" i="1"/>
  <c r="K612" i="1"/>
  <c r="K624" i="1"/>
  <c r="K636" i="1"/>
  <c r="K648" i="1"/>
  <c r="K660" i="1"/>
  <c r="K672" i="1"/>
  <c r="K13" i="1"/>
  <c r="K25" i="1"/>
  <c r="K37" i="1"/>
  <c r="K49" i="1"/>
  <c r="K61" i="1"/>
  <c r="K73" i="1"/>
  <c r="K85" i="1"/>
  <c r="K97" i="1"/>
  <c r="K109" i="1"/>
  <c r="K121" i="1"/>
  <c r="K133" i="1"/>
  <c r="K145" i="1"/>
  <c r="K157" i="1"/>
  <c r="K169" i="1"/>
  <c r="K181" i="1"/>
  <c r="K193" i="1"/>
  <c r="K205" i="1"/>
  <c r="K217" i="1"/>
  <c r="K229" i="1"/>
  <c r="K241" i="1"/>
  <c r="K253" i="1"/>
  <c r="K265" i="1"/>
  <c r="K277" i="1"/>
  <c r="K289" i="1"/>
  <c r="K301" i="1"/>
  <c r="K313" i="1"/>
  <c r="K14" i="1"/>
  <c r="K15" i="1"/>
  <c r="K31" i="1"/>
  <c r="K46" i="1"/>
  <c r="K63" i="1"/>
  <c r="K79" i="1"/>
  <c r="K94" i="1"/>
  <c r="K111" i="1"/>
  <c r="K127" i="1"/>
  <c r="K142" i="1"/>
  <c r="K159" i="1"/>
  <c r="K175" i="1"/>
  <c r="K190" i="1"/>
  <c r="K207" i="1"/>
  <c r="K223" i="1"/>
  <c r="K238" i="1"/>
  <c r="K255" i="1"/>
  <c r="K271" i="1"/>
  <c r="K286" i="1"/>
  <c r="K303" i="1"/>
  <c r="K317" i="1"/>
  <c r="K330" i="1"/>
  <c r="K343" i="1"/>
  <c r="K356" i="1"/>
  <c r="K369" i="1"/>
  <c r="K382" i="1"/>
  <c r="K395" i="1"/>
  <c r="K409" i="1"/>
  <c r="K422" i="1"/>
  <c r="K435" i="1"/>
  <c r="K448" i="1"/>
  <c r="K461" i="1"/>
  <c r="K474" i="1"/>
  <c r="K487" i="1"/>
  <c r="K500" i="1"/>
  <c r="K513" i="1"/>
  <c r="K526" i="1"/>
  <c r="K539" i="1"/>
  <c r="K553" i="1"/>
  <c r="K566" i="1"/>
  <c r="K579" i="1"/>
  <c r="K592" i="1"/>
  <c r="K605" i="1"/>
  <c r="K618" i="1"/>
  <c r="K631" i="1"/>
  <c r="K644" i="1"/>
  <c r="K657" i="1"/>
  <c r="K670" i="1"/>
  <c r="K16" i="1"/>
  <c r="K32" i="1"/>
  <c r="K47" i="1"/>
  <c r="K64" i="1"/>
  <c r="K80" i="1"/>
  <c r="K95" i="1"/>
  <c r="K112" i="1"/>
  <c r="K128" i="1"/>
  <c r="K143" i="1"/>
  <c r="K160" i="1"/>
  <c r="K176" i="1"/>
  <c r="K191" i="1"/>
  <c r="K208" i="1"/>
  <c r="K224" i="1"/>
  <c r="K239" i="1"/>
  <c r="K256" i="1"/>
  <c r="K272" i="1"/>
  <c r="K287" i="1"/>
  <c r="K304" i="1"/>
  <c r="K318" i="1"/>
  <c r="K331" i="1"/>
  <c r="K344" i="1"/>
  <c r="K357" i="1"/>
  <c r="K370" i="1"/>
  <c r="K383" i="1"/>
  <c r="K397" i="1"/>
  <c r="K410" i="1"/>
  <c r="K423" i="1"/>
  <c r="K436" i="1"/>
  <c r="K449" i="1"/>
  <c r="K462" i="1"/>
  <c r="K475" i="1"/>
  <c r="K488" i="1"/>
  <c r="K501" i="1"/>
  <c r="K514" i="1"/>
  <c r="K527" i="1"/>
  <c r="K541" i="1"/>
  <c r="K554" i="1"/>
  <c r="L554" i="1" s="1"/>
  <c r="M554" i="1" s="1"/>
  <c r="K567" i="1"/>
  <c r="K580" i="1"/>
  <c r="K593" i="1"/>
  <c r="K606" i="1"/>
  <c r="K619" i="1"/>
  <c r="K632" i="1"/>
  <c r="K645" i="1"/>
  <c r="K658" i="1"/>
  <c r="K671" i="1"/>
  <c r="K685" i="1"/>
  <c r="K698" i="1"/>
  <c r="K18" i="1"/>
  <c r="K33" i="1"/>
  <c r="L33" i="1" s="1"/>
  <c r="M33" i="1" s="1"/>
  <c r="K50" i="1"/>
  <c r="K66" i="1"/>
  <c r="K81" i="1"/>
  <c r="K98" i="1"/>
  <c r="K114" i="1"/>
  <c r="K129" i="1"/>
  <c r="K146" i="1"/>
  <c r="K162" i="1"/>
  <c r="K177" i="1"/>
  <c r="K194" i="1"/>
  <c r="K210" i="1"/>
  <c r="K225" i="1"/>
  <c r="K242" i="1"/>
  <c r="K258" i="1"/>
  <c r="K273" i="1"/>
  <c r="K290" i="1"/>
  <c r="K305" i="1"/>
  <c r="K319" i="1"/>
  <c r="K332" i="1"/>
  <c r="K345" i="1"/>
  <c r="K358" i="1"/>
  <c r="K371" i="1"/>
  <c r="K385" i="1"/>
  <c r="K398" i="1"/>
  <c r="K411" i="1"/>
  <c r="K424" i="1"/>
  <c r="K437" i="1"/>
  <c r="K450" i="1"/>
  <c r="K463" i="1"/>
  <c r="K476" i="1"/>
  <c r="K489" i="1"/>
  <c r="K502" i="1"/>
  <c r="K515" i="1"/>
  <c r="K529" i="1"/>
  <c r="K542" i="1"/>
  <c r="K555" i="1"/>
  <c r="K568" i="1"/>
  <c r="K581" i="1"/>
  <c r="K594" i="1"/>
  <c r="K607" i="1"/>
  <c r="K620" i="1"/>
  <c r="K633" i="1"/>
  <c r="K646" i="1"/>
  <c r="K659" i="1"/>
  <c r="K673" i="1"/>
  <c r="K19" i="1"/>
  <c r="K34" i="1"/>
  <c r="K51" i="1"/>
  <c r="K67" i="1"/>
  <c r="K82" i="1"/>
  <c r="K99" i="1"/>
  <c r="K115" i="1"/>
  <c r="K130" i="1"/>
  <c r="K147" i="1"/>
  <c r="K163" i="1"/>
  <c r="K178" i="1"/>
  <c r="K195" i="1"/>
  <c r="K211" i="1"/>
  <c r="K226" i="1"/>
  <c r="K243" i="1"/>
  <c r="K259" i="1"/>
  <c r="K274" i="1"/>
  <c r="K291" i="1"/>
  <c r="K306" i="1"/>
  <c r="K320" i="1"/>
  <c r="K333" i="1"/>
  <c r="K346" i="1"/>
  <c r="K359" i="1"/>
  <c r="K373" i="1"/>
  <c r="K386" i="1"/>
  <c r="K399" i="1"/>
  <c r="K412" i="1"/>
  <c r="K425" i="1"/>
  <c r="K438" i="1"/>
  <c r="K451" i="1"/>
  <c r="K464" i="1"/>
  <c r="K477" i="1"/>
  <c r="K490" i="1"/>
  <c r="K503" i="1"/>
  <c r="K517" i="1"/>
  <c r="K530" i="1"/>
  <c r="K543" i="1"/>
  <c r="K556" i="1"/>
  <c r="L556" i="1" s="1"/>
  <c r="M556" i="1" s="1"/>
  <c r="K569" i="1"/>
  <c r="K582" i="1"/>
  <c r="K595" i="1"/>
  <c r="K608" i="1"/>
  <c r="K621" i="1"/>
  <c r="K634" i="1"/>
  <c r="K647" i="1"/>
  <c r="K661" i="1"/>
  <c r="K674" i="1"/>
  <c r="K20" i="1"/>
  <c r="K35" i="1"/>
  <c r="K52" i="1"/>
  <c r="K68" i="1"/>
  <c r="K83" i="1"/>
  <c r="K100" i="1"/>
  <c r="L100" i="1" s="1"/>
  <c r="M100" i="1" s="1"/>
  <c r="K116" i="1"/>
  <c r="K131" i="1"/>
  <c r="K148" i="1"/>
  <c r="K164" i="1"/>
  <c r="K179" i="1"/>
  <c r="K196" i="1"/>
  <c r="K212" i="1"/>
  <c r="K227" i="1"/>
  <c r="K244" i="1"/>
  <c r="K260" i="1"/>
  <c r="K275" i="1"/>
  <c r="K292" i="1"/>
  <c r="K307" i="1"/>
  <c r="K321" i="1"/>
  <c r="K334" i="1"/>
  <c r="K347" i="1"/>
  <c r="K361" i="1"/>
  <c r="K374" i="1"/>
  <c r="K387" i="1"/>
  <c r="K400" i="1"/>
  <c r="K413" i="1"/>
  <c r="K426" i="1"/>
  <c r="K439" i="1"/>
  <c r="K452" i="1"/>
  <c r="K465" i="1"/>
  <c r="K478" i="1"/>
  <c r="K491" i="1"/>
  <c r="K505" i="1"/>
  <c r="K518" i="1"/>
  <c r="L518" i="1" s="1"/>
  <c r="M518" i="1" s="1"/>
  <c r="K531" i="1"/>
  <c r="K544" i="1"/>
  <c r="K557" i="1"/>
  <c r="K570" i="1"/>
  <c r="K583" i="1"/>
  <c r="K596" i="1"/>
  <c r="K609" i="1"/>
  <c r="K622" i="1"/>
  <c r="K635" i="1"/>
  <c r="K649" i="1"/>
  <c r="K662" i="1"/>
  <c r="K675" i="1"/>
  <c r="K21" i="1"/>
  <c r="K38" i="1"/>
  <c r="K54" i="1"/>
  <c r="K69" i="1"/>
  <c r="K86" i="1"/>
  <c r="K102" i="1"/>
  <c r="K117" i="1"/>
  <c r="K134" i="1"/>
  <c r="K150" i="1"/>
  <c r="K165" i="1"/>
  <c r="K182" i="1"/>
  <c r="K198" i="1"/>
  <c r="K213" i="1"/>
  <c r="K230" i="1"/>
  <c r="K246" i="1"/>
  <c r="K261" i="1"/>
  <c r="K278" i="1"/>
  <c r="K294" i="1"/>
  <c r="K308" i="1"/>
  <c r="K322" i="1"/>
  <c r="K335" i="1"/>
  <c r="K349" i="1"/>
  <c r="K362" i="1"/>
  <c r="K375" i="1"/>
  <c r="K388" i="1"/>
  <c r="K401" i="1"/>
  <c r="K414" i="1"/>
  <c r="K427" i="1"/>
  <c r="K440" i="1"/>
  <c r="K453" i="1"/>
  <c r="K466" i="1"/>
  <c r="K479" i="1"/>
  <c r="K493" i="1"/>
  <c r="K506" i="1"/>
  <c r="K519" i="1"/>
  <c r="K532" i="1"/>
  <c r="K545" i="1"/>
  <c r="K558" i="1"/>
  <c r="K571" i="1"/>
  <c r="K584" i="1"/>
  <c r="K597" i="1"/>
  <c r="K610" i="1"/>
  <c r="K623" i="1"/>
  <c r="K637" i="1"/>
  <c r="K650" i="1"/>
  <c r="K663" i="1"/>
  <c r="K22" i="1"/>
  <c r="K39" i="1"/>
  <c r="K55" i="1"/>
  <c r="K70" i="1"/>
  <c r="K87" i="1"/>
  <c r="K103" i="1"/>
  <c r="K118" i="1"/>
  <c r="K135" i="1"/>
  <c r="K151" i="1"/>
  <c r="K166" i="1"/>
  <c r="K183" i="1"/>
  <c r="K199" i="1"/>
  <c r="K214" i="1"/>
  <c r="K231" i="1"/>
  <c r="K247" i="1"/>
  <c r="K262" i="1"/>
  <c r="K279" i="1"/>
  <c r="K295" i="1"/>
  <c r="K309" i="1"/>
  <c r="K323" i="1"/>
  <c r="K337" i="1"/>
  <c r="K350" i="1"/>
  <c r="K363" i="1"/>
  <c r="K376" i="1"/>
  <c r="K389" i="1"/>
  <c r="K402" i="1"/>
  <c r="K415" i="1"/>
  <c r="K428" i="1"/>
  <c r="K441" i="1"/>
  <c r="K454" i="1"/>
  <c r="K467" i="1"/>
  <c r="K481" i="1"/>
  <c r="K494" i="1"/>
  <c r="K507" i="1"/>
  <c r="K520" i="1"/>
  <c r="K533" i="1"/>
  <c r="K23" i="1"/>
  <c r="K40" i="1"/>
  <c r="K56" i="1"/>
  <c r="K71" i="1"/>
  <c r="K88" i="1"/>
  <c r="K104" i="1"/>
  <c r="K119" i="1"/>
  <c r="K136" i="1"/>
  <c r="K152" i="1"/>
  <c r="K167" i="1"/>
  <c r="K184" i="1"/>
  <c r="K200" i="1"/>
  <c r="K215" i="1"/>
  <c r="K232" i="1"/>
  <c r="K26" i="1"/>
  <c r="K42" i="1"/>
  <c r="K57" i="1"/>
  <c r="K74" i="1"/>
  <c r="K90" i="1"/>
  <c r="K105" i="1"/>
  <c r="K122" i="1"/>
  <c r="K138" i="1"/>
  <c r="K153" i="1"/>
  <c r="K170" i="1"/>
  <c r="K186" i="1"/>
  <c r="K201" i="1"/>
  <c r="K218" i="1"/>
  <c r="K234" i="1"/>
  <c r="K249" i="1"/>
  <c r="K266" i="1"/>
  <c r="K282" i="1"/>
  <c r="K297" i="1"/>
  <c r="K311" i="1"/>
  <c r="K326" i="1"/>
  <c r="K339" i="1"/>
  <c r="K352" i="1"/>
  <c r="K365" i="1"/>
  <c r="K378" i="1"/>
  <c r="K391" i="1"/>
  <c r="K404" i="1"/>
  <c r="K417" i="1"/>
  <c r="K430" i="1"/>
  <c r="K443" i="1"/>
  <c r="K457" i="1"/>
  <c r="K470" i="1"/>
  <c r="K483" i="1"/>
  <c r="K496" i="1"/>
  <c r="K509" i="1"/>
  <c r="K522" i="1"/>
  <c r="J667" i="1"/>
  <c r="L667" i="1" s="1"/>
  <c r="M667" i="1" s="1"/>
  <c r="J655" i="1"/>
  <c r="J643" i="1"/>
  <c r="L643" i="1" s="1"/>
  <c r="M643" i="1" s="1"/>
  <c r="J631" i="1"/>
  <c r="J619" i="1"/>
  <c r="J607" i="1"/>
  <c r="J595" i="1"/>
  <c r="J583" i="1"/>
  <c r="J571" i="1"/>
  <c r="J559" i="1"/>
  <c r="L559" i="1" s="1"/>
  <c r="M559" i="1" s="1"/>
  <c r="J547" i="1"/>
  <c r="J535" i="1"/>
  <c r="L535" i="1" s="1"/>
  <c r="M535" i="1" s="1"/>
  <c r="J523" i="1"/>
  <c r="J511" i="1"/>
  <c r="J499" i="1"/>
  <c r="L499" i="1" s="1"/>
  <c r="M499" i="1" s="1"/>
  <c r="J487" i="1"/>
  <c r="J475" i="1"/>
  <c r="J463" i="1"/>
  <c r="J450" i="1"/>
  <c r="J437" i="1"/>
  <c r="J424" i="1"/>
  <c r="J411" i="1"/>
  <c r="J398" i="1"/>
  <c r="J384" i="1"/>
  <c r="J371" i="1"/>
  <c r="J358" i="1"/>
  <c r="J345" i="1"/>
  <c r="J332" i="1"/>
  <c r="J318" i="1"/>
  <c r="J304" i="1"/>
  <c r="L304" i="1" s="1"/>
  <c r="M304" i="1" s="1"/>
  <c r="J290" i="1"/>
  <c r="J276" i="1"/>
  <c r="J262" i="1"/>
  <c r="J247" i="1"/>
  <c r="J232" i="1"/>
  <c r="J217" i="1"/>
  <c r="L217" i="1" s="1"/>
  <c r="M217" i="1" s="1"/>
  <c r="J202" i="1"/>
  <c r="J186" i="1"/>
  <c r="J171" i="1"/>
  <c r="L171" i="1" s="1"/>
  <c r="M171" i="1" s="1"/>
  <c r="J154" i="1"/>
  <c r="J138" i="1"/>
  <c r="J123" i="1"/>
  <c r="J108" i="1"/>
  <c r="L108" i="1" s="1"/>
  <c r="M108" i="1" s="1"/>
  <c r="J93" i="1"/>
  <c r="J74" i="1"/>
  <c r="J58" i="1"/>
  <c r="J40" i="1"/>
  <c r="J18" i="1"/>
  <c r="K652" i="1"/>
  <c r="K626" i="1"/>
  <c r="K599" i="1"/>
  <c r="K573" i="1"/>
  <c r="K547" i="1"/>
  <c r="K511" i="1"/>
  <c r="K472" i="1"/>
  <c r="K433" i="1"/>
  <c r="K393" i="1"/>
  <c r="K354" i="1"/>
  <c r="K315" i="1"/>
  <c r="K268" i="1"/>
  <c r="K219" i="1"/>
  <c r="K154" i="1"/>
  <c r="K91" i="1"/>
  <c r="K27" i="1"/>
  <c r="L18" i="1" l="1"/>
  <c r="M18" i="1" s="1"/>
  <c r="L487" i="1"/>
  <c r="M487" i="1" s="1"/>
  <c r="L78" i="1"/>
  <c r="M78" i="1" s="1"/>
  <c r="L607" i="1"/>
  <c r="M607" i="1" s="1"/>
  <c r="L631" i="1"/>
  <c r="M631" i="1" s="1"/>
  <c r="L232" i="1"/>
  <c r="M232" i="1" s="1"/>
  <c r="L123" i="1"/>
  <c r="M123" i="1" s="1"/>
  <c r="L248" i="1"/>
  <c r="M248" i="1" s="1"/>
  <c r="L189" i="1"/>
  <c r="M189" i="1" s="1"/>
  <c r="L565" i="1"/>
  <c r="M565" i="1" s="1"/>
  <c r="L236" i="1"/>
  <c r="M236" i="1" s="1"/>
  <c r="L411" i="1"/>
  <c r="M411" i="1" s="1"/>
  <c r="L40" i="1"/>
  <c r="M40" i="1" s="1"/>
  <c r="L202" i="1"/>
  <c r="M202" i="1" s="1"/>
  <c r="L619" i="1"/>
  <c r="M619" i="1" s="1"/>
  <c r="L310" i="1"/>
  <c r="M310" i="1" s="1"/>
  <c r="L429" i="1"/>
  <c r="M429" i="1" s="1"/>
  <c r="L474" i="1"/>
  <c r="M474" i="1" s="1"/>
  <c r="L571" i="1"/>
  <c r="M571" i="1" s="1"/>
  <c r="L583" i="1"/>
  <c r="M583" i="1" s="1"/>
  <c r="L398" i="1"/>
  <c r="M398" i="1" s="1"/>
  <c r="L445" i="1"/>
  <c r="M445" i="1" s="1"/>
  <c r="L394" i="1"/>
  <c r="M394" i="1" s="1"/>
  <c r="L422" i="1"/>
  <c r="M422" i="1" s="1"/>
  <c r="L340" i="1"/>
  <c r="M340" i="1" s="1"/>
  <c r="L298" i="1"/>
  <c r="M298" i="1" s="1"/>
  <c r="L62" i="1"/>
  <c r="M62" i="1" s="1"/>
  <c r="L669" i="1"/>
  <c r="M669" i="1" s="1"/>
  <c r="L668" i="1"/>
  <c r="M668" i="1" s="1"/>
  <c r="L263" i="1"/>
  <c r="M263" i="1" s="1"/>
  <c r="L44" i="1"/>
  <c r="M44" i="1" s="1"/>
  <c r="L267" i="1"/>
  <c r="M267" i="1" s="1"/>
  <c r="L58" i="1"/>
  <c r="M58" i="1" s="1"/>
  <c r="L625" i="1"/>
  <c r="M625" i="1" s="1"/>
  <c r="L506" i="1"/>
  <c r="M506" i="1" s="1"/>
  <c r="L170" i="1"/>
  <c r="M170" i="1" s="1"/>
  <c r="L3" i="1"/>
  <c r="M3" i="1" s="1"/>
  <c r="L57" i="1"/>
  <c r="M57" i="1" s="1"/>
  <c r="L257" i="1"/>
  <c r="M257" i="1" s="1"/>
  <c r="L676" i="1"/>
  <c r="M676" i="1" s="1"/>
  <c r="L587" i="1"/>
  <c r="M587" i="1" s="1"/>
  <c r="L338" i="1"/>
  <c r="M338" i="1" s="1"/>
  <c r="L214" i="1"/>
  <c r="M214" i="1" s="1"/>
  <c r="L325" i="1"/>
  <c r="M325" i="1" s="1"/>
  <c r="L351" i="1"/>
  <c r="M351" i="1" s="1"/>
  <c r="L203" i="1"/>
  <c r="M203" i="1" s="1"/>
  <c r="L611" i="1"/>
  <c r="M611" i="1" s="1"/>
  <c r="L184" i="1"/>
  <c r="M184" i="1" s="1"/>
  <c r="L358" i="1"/>
  <c r="M358" i="1" s="1"/>
  <c r="L371" i="1"/>
  <c r="M371" i="1" s="1"/>
  <c r="L523" i="1"/>
  <c r="M523" i="1" s="1"/>
  <c r="L560" i="1"/>
  <c r="M560" i="1" s="1"/>
  <c r="L550" i="1"/>
  <c r="M550" i="1" s="1"/>
  <c r="L585" i="1"/>
  <c r="M585" i="1" s="1"/>
  <c r="L598" i="1"/>
  <c r="M598" i="1" s="1"/>
  <c r="L586" i="1"/>
  <c r="M586" i="1" s="1"/>
  <c r="L110" i="1"/>
  <c r="M110" i="1" s="1"/>
  <c r="L455" i="1"/>
  <c r="M455" i="1" s="1"/>
  <c r="L288" i="1"/>
  <c r="M288" i="1" s="1"/>
  <c r="L332" i="1"/>
  <c r="M332" i="1" s="1"/>
  <c r="L372" i="1"/>
  <c r="M372" i="1" s="1"/>
  <c r="L524" i="1"/>
  <c r="M524" i="1" s="1"/>
  <c r="L156" i="1"/>
  <c r="M156" i="1" s="1"/>
  <c r="L457" i="1"/>
  <c r="M457" i="1" s="1"/>
  <c r="L312" i="1"/>
  <c r="M312" i="1" s="1"/>
  <c r="L155" i="1"/>
  <c r="M155" i="1" s="1"/>
  <c r="L104" i="1"/>
  <c r="M104" i="1" s="1"/>
  <c r="L471" i="1"/>
  <c r="M471" i="1" s="1"/>
  <c r="L510" i="1"/>
  <c r="M510" i="1" s="1"/>
  <c r="L122" i="1"/>
  <c r="M122" i="1" s="1"/>
  <c r="L19" i="1"/>
  <c r="M19" i="1" s="1"/>
  <c r="L218" i="1"/>
  <c r="M218" i="1" s="1"/>
  <c r="L386" i="1"/>
  <c r="M386" i="1" s="1"/>
  <c r="L536" i="1"/>
  <c r="M536" i="1" s="1"/>
  <c r="L92" i="1"/>
  <c r="M92" i="1" s="1"/>
  <c r="L204" i="1"/>
  <c r="M204" i="1" s="1"/>
  <c r="L374" i="1"/>
  <c r="M374" i="1" s="1"/>
  <c r="L174" i="1"/>
  <c r="M174" i="1" s="1"/>
  <c r="L348" i="1"/>
  <c r="M348" i="1" s="1"/>
  <c r="L514" i="1"/>
  <c r="M514" i="1" s="1"/>
  <c r="L323" i="1"/>
  <c r="M323" i="1" s="1"/>
  <c r="L479" i="1"/>
  <c r="M479" i="1" s="1"/>
  <c r="L623" i="1"/>
  <c r="M623" i="1" s="1"/>
  <c r="L6" i="1"/>
  <c r="M6" i="1" s="1"/>
  <c r="L528" i="1"/>
  <c r="M528" i="1" s="1"/>
  <c r="L672" i="1"/>
  <c r="M672" i="1" s="1"/>
  <c r="L193" i="1"/>
  <c r="M193" i="1" s="1"/>
  <c r="L365" i="1"/>
  <c r="M365" i="1" s="1"/>
  <c r="L529" i="1"/>
  <c r="M529" i="1" s="1"/>
  <c r="L149" i="1"/>
  <c r="M149" i="1" s="1"/>
  <c r="L328" i="1"/>
  <c r="M328" i="1" s="1"/>
  <c r="L483" i="1"/>
  <c r="M483" i="1" s="1"/>
  <c r="L627" i="1"/>
  <c r="M627" i="1" s="1"/>
  <c r="L105" i="1"/>
  <c r="M105" i="1" s="1"/>
  <c r="L198" i="1"/>
  <c r="M198" i="1" s="1"/>
  <c r="L537" i="1"/>
  <c r="M537" i="1" s="1"/>
  <c r="L28" i="1"/>
  <c r="M28" i="1" s="1"/>
  <c r="L447" i="1"/>
  <c r="M447" i="1" s="1"/>
  <c r="L249" i="1"/>
  <c r="M249" i="1" s="1"/>
  <c r="L412" i="1"/>
  <c r="M412" i="1" s="1"/>
  <c r="L117" i="1"/>
  <c r="M117" i="1" s="1"/>
  <c r="L421" i="1"/>
  <c r="M421" i="1" s="1"/>
  <c r="L36" i="1"/>
  <c r="M36" i="1" s="1"/>
  <c r="L212" i="1"/>
  <c r="M212" i="1" s="1"/>
  <c r="L68" i="1"/>
  <c r="M68" i="1" s="1"/>
  <c r="L400" i="1"/>
  <c r="M400" i="1" s="1"/>
  <c r="L549" i="1"/>
  <c r="M549" i="1" s="1"/>
  <c r="L4" i="1"/>
  <c r="M4" i="1" s="1"/>
  <c r="L205" i="1"/>
  <c r="M205" i="1" s="1"/>
  <c r="L375" i="1"/>
  <c r="M375" i="1" s="1"/>
  <c r="L175" i="1"/>
  <c r="M175" i="1" s="1"/>
  <c r="L350" i="1"/>
  <c r="M350" i="1" s="1"/>
  <c r="L503" i="1"/>
  <c r="M503" i="1" s="1"/>
  <c r="L647" i="1"/>
  <c r="M647" i="1" s="1"/>
  <c r="L46" i="1"/>
  <c r="M46" i="1" s="1"/>
  <c r="L239" i="1"/>
  <c r="M239" i="1" s="1"/>
  <c r="L403" i="1"/>
  <c r="M403" i="1" s="1"/>
  <c r="L226" i="1"/>
  <c r="M226" i="1" s="1"/>
  <c r="L391" i="1"/>
  <c r="M391" i="1" s="1"/>
  <c r="L553" i="1"/>
  <c r="M553" i="1" s="1"/>
  <c r="L180" i="1"/>
  <c r="M180" i="1" s="1"/>
  <c r="L354" i="1"/>
  <c r="M354" i="1" s="1"/>
  <c r="L507" i="1"/>
  <c r="M507" i="1" s="1"/>
  <c r="L651" i="1"/>
  <c r="M651" i="1" s="1"/>
  <c r="L592" i="1"/>
  <c r="M592" i="1" s="1"/>
  <c r="L39" i="1"/>
  <c r="M39" i="1" s="1"/>
  <c r="L409" i="1"/>
  <c r="M409" i="1" s="1"/>
  <c r="L102" i="1"/>
  <c r="M102" i="1" s="1"/>
  <c r="L23" i="1"/>
  <c r="M23" i="1" s="1"/>
  <c r="L200" i="1"/>
  <c r="M200" i="1" s="1"/>
  <c r="L60" i="1"/>
  <c r="M60" i="1" s="1"/>
  <c r="L250" i="1"/>
  <c r="M250" i="1" s="1"/>
  <c r="L22" i="1"/>
  <c r="M22" i="1" s="1"/>
  <c r="L191" i="1"/>
  <c r="M191" i="1" s="1"/>
  <c r="L363" i="1"/>
  <c r="M363" i="1" s="1"/>
  <c r="L515" i="1"/>
  <c r="M515" i="1" s="1"/>
  <c r="L659" i="1"/>
  <c r="M659" i="1" s="1"/>
  <c r="L505" i="1"/>
  <c r="M505" i="1" s="1"/>
  <c r="L47" i="1"/>
  <c r="M47" i="1" s="1"/>
  <c r="L367" i="1"/>
  <c r="M367" i="1" s="1"/>
  <c r="L519" i="1"/>
  <c r="M519" i="1" s="1"/>
  <c r="L148" i="1"/>
  <c r="M148" i="1" s="1"/>
  <c r="L642" i="1"/>
  <c r="M642" i="1" s="1"/>
  <c r="L562" i="1"/>
  <c r="M562" i="1" s="1"/>
  <c r="L43" i="1"/>
  <c r="M43" i="1" s="1"/>
  <c r="L237" i="1"/>
  <c r="M237" i="1" s="1"/>
  <c r="L494" i="1"/>
  <c r="M494" i="1" s="1"/>
  <c r="L345" i="1"/>
  <c r="M345" i="1" s="1"/>
  <c r="L77" i="1"/>
  <c r="M77" i="1" s="1"/>
  <c r="L233" i="1"/>
  <c r="M233" i="1" s="1"/>
  <c r="L589" i="1"/>
  <c r="M589" i="1" s="1"/>
  <c r="L653" i="1"/>
  <c r="M653" i="1" s="1"/>
  <c r="L124" i="1"/>
  <c r="M124" i="1" s="1"/>
  <c r="L221" i="1"/>
  <c r="M221" i="1" s="1"/>
  <c r="L64" i="1"/>
  <c r="M64" i="1" s="1"/>
  <c r="L220" i="1"/>
  <c r="M220" i="1" s="1"/>
  <c r="L63" i="1"/>
  <c r="M63" i="1" s="1"/>
  <c r="L308" i="1"/>
  <c r="M308" i="1" s="1"/>
  <c r="L20" i="1"/>
  <c r="M20" i="1" s="1"/>
  <c r="L45" i="1"/>
  <c r="M45" i="1" s="1"/>
  <c r="L551" i="1"/>
  <c r="M551" i="1" s="1"/>
  <c r="L613" i="1"/>
  <c r="M613" i="1" s="1"/>
  <c r="L93" i="1"/>
  <c r="M93" i="1" s="1"/>
  <c r="L8" i="1"/>
  <c r="M8" i="1" s="1"/>
  <c r="L563" i="1"/>
  <c r="M563" i="1" s="1"/>
  <c r="L91" i="1"/>
  <c r="M91" i="1" s="1"/>
  <c r="L316" i="1"/>
  <c r="M316" i="1" s="1"/>
  <c r="L470" i="1"/>
  <c r="M470" i="1" s="1"/>
  <c r="L290" i="1"/>
  <c r="M290" i="1" s="1"/>
  <c r="L450" i="1"/>
  <c r="M450" i="1" s="1"/>
  <c r="L595" i="1"/>
  <c r="M595" i="1" s="1"/>
  <c r="L606" i="1"/>
  <c r="M606" i="1" s="1"/>
  <c r="L522" i="1"/>
  <c r="M522" i="1" s="1"/>
  <c r="L142" i="1"/>
  <c r="M142" i="1" s="1"/>
  <c r="L145" i="1"/>
  <c r="M145" i="1" s="1"/>
  <c r="L115" i="1"/>
  <c r="M115" i="1" s="1"/>
  <c r="L235" i="1"/>
  <c r="M235" i="1" s="1"/>
  <c r="L230" i="1"/>
  <c r="M230" i="1" s="1"/>
  <c r="L330" i="1"/>
  <c r="M330" i="1" s="1"/>
  <c r="L425" i="1"/>
  <c r="M425" i="1" s="1"/>
  <c r="L222" i="1"/>
  <c r="M222" i="1" s="1"/>
  <c r="L253" i="1"/>
  <c r="M253" i="1" s="1"/>
  <c r="L197" i="1"/>
  <c r="M197" i="1" s="1"/>
  <c r="L547" i="1"/>
  <c r="M547" i="1" s="1"/>
  <c r="L94" i="1"/>
  <c r="M94" i="1" s="1"/>
  <c r="L277" i="1"/>
  <c r="M277" i="1" s="1"/>
  <c r="L438" i="1"/>
  <c r="M438" i="1" s="1"/>
  <c r="L584" i="1"/>
  <c r="M584" i="1" s="1"/>
  <c r="L26" i="1"/>
  <c r="M26" i="1" s="1"/>
  <c r="L90" i="1"/>
  <c r="M90" i="1" s="1"/>
  <c r="L397" i="1"/>
  <c r="M397" i="1" s="1"/>
  <c r="L246" i="1"/>
  <c r="M246" i="1" s="1"/>
  <c r="L89" i="1"/>
  <c r="M89" i="1" s="1"/>
  <c r="L10" i="1"/>
  <c r="M10" i="1" s="1"/>
  <c r="L79" i="1"/>
  <c r="M79" i="1" s="1"/>
  <c r="L264" i="1"/>
  <c r="M264" i="1" s="1"/>
  <c r="L426" i="1"/>
  <c r="M426" i="1" s="1"/>
  <c r="L573" i="1"/>
  <c r="M573" i="1" s="1"/>
  <c r="L401" i="1"/>
  <c r="M401" i="1" s="1"/>
  <c r="L574" i="1"/>
  <c r="M574" i="1" s="1"/>
  <c r="L5" i="1"/>
  <c r="M5" i="1" s="1"/>
  <c r="L206" i="1"/>
  <c r="M206" i="1" s="1"/>
  <c r="L376" i="1"/>
  <c r="M376" i="1" s="1"/>
  <c r="L527" i="1"/>
  <c r="M527" i="1" s="1"/>
  <c r="L671" i="1"/>
  <c r="M671" i="1" s="1"/>
  <c r="L83" i="1"/>
  <c r="M83" i="1" s="1"/>
  <c r="L576" i="1"/>
  <c r="M576" i="1" s="1"/>
  <c r="L601" i="1"/>
  <c r="M601" i="1" s="1"/>
  <c r="L67" i="1"/>
  <c r="M67" i="1" s="1"/>
  <c r="L417" i="1"/>
  <c r="M417" i="1" s="1"/>
  <c r="L577" i="1"/>
  <c r="M577" i="1" s="1"/>
  <c r="L14" i="1"/>
  <c r="M14" i="1" s="1"/>
  <c r="L213" i="1"/>
  <c r="M213" i="1" s="1"/>
  <c r="L380" i="1"/>
  <c r="M380" i="1" s="1"/>
  <c r="L531" i="1"/>
  <c r="M531" i="1" s="1"/>
  <c r="L675" i="1"/>
  <c r="M675" i="1" s="1"/>
  <c r="L405" i="1"/>
  <c r="M405" i="1" s="1"/>
  <c r="L150" i="1"/>
  <c r="M150" i="1" s="1"/>
  <c r="L664" i="1"/>
  <c r="M664" i="1" s="1"/>
  <c r="L436" i="1"/>
  <c r="M436" i="1" s="1"/>
  <c r="L617" i="1"/>
  <c r="M617" i="1" s="1"/>
  <c r="L136" i="1"/>
  <c r="M136" i="1" s="1"/>
  <c r="L355" i="1"/>
  <c r="M355" i="1" s="1"/>
  <c r="L431" i="1"/>
  <c r="M431" i="1" s="1"/>
  <c r="L570" i="1"/>
  <c r="M570" i="1" s="1"/>
  <c r="L73" i="1"/>
  <c r="M73" i="1" s="1"/>
  <c r="L382" i="1"/>
  <c r="M382" i="1" s="1"/>
  <c r="L640" i="1"/>
  <c r="M640" i="1" s="1"/>
  <c r="L166" i="1"/>
  <c r="M166" i="1" s="1"/>
  <c r="L255" i="1"/>
  <c r="M255" i="1" s="1"/>
  <c r="L486" i="1"/>
  <c r="M486" i="1" s="1"/>
  <c r="L244" i="1"/>
  <c r="M244" i="1" s="1"/>
  <c r="L552" i="1"/>
  <c r="M552" i="1" s="1"/>
  <c r="L572" i="1"/>
  <c r="M572" i="1" s="1"/>
  <c r="L564" i="1"/>
  <c r="M564" i="1" s="1"/>
  <c r="L240" i="1"/>
  <c r="M240" i="1" s="1"/>
  <c r="L404" i="1"/>
  <c r="M404" i="1" s="1"/>
  <c r="L663" i="1"/>
  <c r="M663" i="1" s="1"/>
  <c r="L247" i="1"/>
  <c r="M247" i="1" s="1"/>
  <c r="L109" i="1"/>
  <c r="M109" i="1" s="1"/>
  <c r="L291" i="1"/>
  <c r="M291" i="1" s="1"/>
  <c r="L451" i="1"/>
  <c r="M451" i="1" s="1"/>
  <c r="L596" i="1"/>
  <c r="M596" i="1" s="1"/>
  <c r="L13" i="1"/>
  <c r="M13" i="1" s="1"/>
  <c r="L385" i="1"/>
  <c r="M385" i="1" s="1"/>
  <c r="L76" i="1"/>
  <c r="M76" i="1" s="1"/>
  <c r="L320" i="1"/>
  <c r="M320" i="1" s="1"/>
  <c r="L176" i="1"/>
  <c r="M176" i="1" s="1"/>
  <c r="L32" i="1"/>
  <c r="M32" i="1" s="1"/>
  <c r="L95" i="1"/>
  <c r="M95" i="1" s="1"/>
  <c r="L278" i="1"/>
  <c r="M278" i="1" s="1"/>
  <c r="L439" i="1"/>
  <c r="M439" i="1" s="1"/>
  <c r="L61" i="1"/>
  <c r="M61" i="1" s="1"/>
  <c r="L251" i="1"/>
  <c r="M251" i="1" s="1"/>
  <c r="L414" i="1"/>
  <c r="M414" i="1" s="1"/>
  <c r="L27" i="1"/>
  <c r="M27" i="1" s="1"/>
  <c r="L223" i="1"/>
  <c r="M223" i="1" s="1"/>
  <c r="L389" i="1"/>
  <c r="M389" i="1" s="1"/>
  <c r="L539" i="1"/>
  <c r="M539" i="1" s="1"/>
  <c r="L98" i="1"/>
  <c r="M98" i="1" s="1"/>
  <c r="L281" i="1"/>
  <c r="M281" i="1" s="1"/>
  <c r="L442" i="1"/>
  <c r="M442" i="1" s="1"/>
  <c r="L588" i="1"/>
  <c r="M588" i="1" s="1"/>
  <c r="L649" i="1"/>
  <c r="M649" i="1" s="1"/>
  <c r="L84" i="1"/>
  <c r="M84" i="1" s="1"/>
  <c r="L268" i="1"/>
  <c r="M268" i="1" s="1"/>
  <c r="L430" i="1"/>
  <c r="M430" i="1" s="1"/>
  <c r="L31" i="1"/>
  <c r="M31" i="1" s="1"/>
  <c r="L228" i="1"/>
  <c r="M228" i="1" s="1"/>
  <c r="L393" i="1"/>
  <c r="M393" i="1" s="1"/>
  <c r="L543" i="1"/>
  <c r="M543" i="1" s="1"/>
  <c r="L626" i="1"/>
  <c r="M626" i="1" s="1"/>
  <c r="L407" i="1"/>
  <c r="M407" i="1" s="1"/>
  <c r="L287" i="1"/>
  <c r="M287" i="1" s="1"/>
  <c r="L396" i="1"/>
  <c r="M396" i="1" s="1"/>
  <c r="L581" i="1"/>
  <c r="M581" i="1" s="1"/>
  <c r="L88" i="1"/>
  <c r="M88" i="1" s="1"/>
  <c r="L315" i="1"/>
  <c r="M315" i="1" s="1"/>
  <c r="L392" i="1"/>
  <c r="M392" i="1" s="1"/>
  <c r="L534" i="1"/>
  <c r="M534" i="1" s="1"/>
  <c r="L9" i="1"/>
  <c r="M9" i="1" s="1"/>
  <c r="L343" i="1"/>
  <c r="M343" i="1" s="1"/>
  <c r="L604" i="1"/>
  <c r="M604" i="1" s="1"/>
  <c r="L120" i="1"/>
  <c r="M120" i="1" s="1"/>
  <c r="L211" i="1"/>
  <c r="M211" i="1" s="1"/>
  <c r="L449" i="1"/>
  <c r="M449" i="1" s="1"/>
  <c r="L665" i="1"/>
  <c r="M665" i="1" s="1"/>
  <c r="L199" i="1"/>
  <c r="M199" i="1" s="1"/>
  <c r="L154" i="1"/>
  <c r="M154" i="1" s="1"/>
  <c r="L273" i="1"/>
  <c r="M273" i="1" s="1"/>
  <c r="L384" i="1"/>
  <c r="M384" i="1" s="1"/>
  <c r="L424" i="1"/>
  <c r="M424" i="1" s="1"/>
  <c r="L373" i="1"/>
  <c r="M373" i="1" s="1"/>
  <c r="L164" i="1"/>
  <c r="M164" i="1" s="1"/>
  <c r="L292" i="1"/>
  <c r="M292" i="1" s="1"/>
  <c r="L452" i="1"/>
  <c r="M452" i="1" s="1"/>
  <c r="L597" i="1"/>
  <c r="M597" i="1" s="1"/>
  <c r="L622" i="1"/>
  <c r="M622" i="1" s="1"/>
  <c r="L81" i="1"/>
  <c r="M81" i="1" s="1"/>
  <c r="L265" i="1"/>
  <c r="M265" i="1" s="1"/>
  <c r="L440" i="1"/>
  <c r="M440" i="1" s="1"/>
  <c r="L610" i="1"/>
  <c r="M610" i="1" s="1"/>
  <c r="L238" i="1"/>
  <c r="M238" i="1" s="1"/>
  <c r="L402" i="1"/>
  <c r="M402" i="1" s="1"/>
  <c r="L113" i="1"/>
  <c r="M113" i="1" s="1"/>
  <c r="L295" i="1"/>
  <c r="M295" i="1" s="1"/>
  <c r="L600" i="1"/>
  <c r="M600" i="1" s="1"/>
  <c r="L673" i="1"/>
  <c r="M673" i="1" s="1"/>
  <c r="L99" i="1"/>
  <c r="M99" i="1" s="1"/>
  <c r="L282" i="1"/>
  <c r="M282" i="1" s="1"/>
  <c r="L443" i="1"/>
  <c r="M443" i="1" s="1"/>
  <c r="L53" i="1"/>
  <c r="M53" i="1" s="1"/>
  <c r="L242" i="1"/>
  <c r="M242" i="1" s="1"/>
  <c r="L406" i="1"/>
  <c r="M406" i="1" s="1"/>
  <c r="L555" i="1"/>
  <c r="M555" i="1" s="1"/>
  <c r="L628" i="1"/>
  <c r="M628" i="1" s="1"/>
  <c r="L241" i="1"/>
  <c r="M241" i="1" s="1"/>
  <c r="L520" i="1"/>
  <c r="M520" i="1" s="1"/>
  <c r="L357" i="1"/>
  <c r="M357" i="1" s="1"/>
  <c r="L545" i="1"/>
  <c r="M545" i="1" s="1"/>
  <c r="L17" i="1"/>
  <c r="M17" i="1" s="1"/>
  <c r="L271" i="1"/>
  <c r="M271" i="1" s="1"/>
  <c r="L227" i="1"/>
  <c r="M227" i="1" s="1"/>
  <c r="L498" i="1"/>
  <c r="M498" i="1" s="1"/>
  <c r="L302" i="1"/>
  <c r="M302" i="1" s="1"/>
  <c r="L568" i="1"/>
  <c r="M568" i="1" s="1"/>
  <c r="L71" i="1"/>
  <c r="M71" i="1" s="1"/>
  <c r="L163" i="1"/>
  <c r="M163" i="1" s="1"/>
  <c r="L410" i="1"/>
  <c r="M410" i="1" s="1"/>
  <c r="L629" i="1"/>
  <c r="M629" i="1" s="1"/>
  <c r="L151" i="1"/>
  <c r="M151" i="1" s="1"/>
  <c r="L103" i="1"/>
  <c r="M103" i="1" s="1"/>
  <c r="L56" i="1"/>
  <c r="M56" i="1" s="1"/>
  <c r="L427" i="1"/>
  <c r="M427" i="1" s="1"/>
  <c r="L305" i="1"/>
  <c r="M305" i="1" s="1"/>
  <c r="L437" i="1"/>
  <c r="M437" i="1" s="1"/>
  <c r="L139" i="1"/>
  <c r="M139" i="1" s="1"/>
  <c r="L319" i="1"/>
  <c r="M319" i="1" s="1"/>
  <c r="L476" i="1"/>
  <c r="M476" i="1" s="1"/>
  <c r="L620" i="1"/>
  <c r="M620" i="1" s="1"/>
  <c r="L208" i="1"/>
  <c r="M208" i="1" s="1"/>
  <c r="L51" i="1"/>
  <c r="M51" i="1" s="1"/>
  <c r="L361" i="1"/>
  <c r="M361" i="1" s="1"/>
  <c r="L207" i="1"/>
  <c r="M207" i="1" s="1"/>
  <c r="L50" i="1"/>
  <c r="M50" i="1" s="1"/>
  <c r="L296" i="1"/>
  <c r="M296" i="1" s="1"/>
  <c r="L152" i="1"/>
  <c r="M152" i="1" s="1"/>
  <c r="L125" i="1"/>
  <c r="M125" i="1" s="1"/>
  <c r="L306" i="1"/>
  <c r="M306" i="1" s="1"/>
  <c r="L465" i="1"/>
  <c r="M465" i="1" s="1"/>
  <c r="L609" i="1"/>
  <c r="M609" i="1" s="1"/>
  <c r="L646" i="1"/>
  <c r="M646" i="1" s="1"/>
  <c r="L96" i="1"/>
  <c r="M96" i="1" s="1"/>
  <c r="L279" i="1"/>
  <c r="M279" i="1" s="1"/>
  <c r="L453" i="1"/>
  <c r="M453" i="1" s="1"/>
  <c r="L634" i="1"/>
  <c r="M634" i="1" s="1"/>
  <c r="L65" i="1"/>
  <c r="M65" i="1" s="1"/>
  <c r="L252" i="1"/>
  <c r="M252" i="1" s="1"/>
  <c r="L415" i="1"/>
  <c r="M415" i="1" s="1"/>
  <c r="L131" i="1"/>
  <c r="M131" i="1" s="1"/>
  <c r="L468" i="1"/>
  <c r="M468" i="1" s="1"/>
  <c r="L612" i="1"/>
  <c r="M612" i="1" s="1"/>
  <c r="L114" i="1"/>
  <c r="M114" i="1" s="1"/>
  <c r="L297" i="1"/>
  <c r="M297" i="1" s="1"/>
  <c r="L456" i="1"/>
  <c r="M456" i="1" s="1"/>
  <c r="L70" i="1"/>
  <c r="M70" i="1" s="1"/>
  <c r="L256" i="1"/>
  <c r="M256" i="1" s="1"/>
  <c r="L419" i="1"/>
  <c r="M419" i="1" s="1"/>
  <c r="L567" i="1"/>
  <c r="M567" i="1" s="1"/>
  <c r="L35" i="1"/>
  <c r="M35" i="1" s="1"/>
  <c r="L482" i="1"/>
  <c r="M482" i="1" s="1"/>
  <c r="L317" i="1"/>
  <c r="M317" i="1" s="1"/>
  <c r="L509" i="1"/>
  <c r="M509" i="1" s="1"/>
  <c r="L229" i="1"/>
  <c r="M229" i="1" s="1"/>
  <c r="L179" i="1"/>
  <c r="M179" i="1" s="1"/>
  <c r="L462" i="1"/>
  <c r="M462" i="1" s="1"/>
  <c r="L313" i="1"/>
  <c r="M313" i="1" s="1"/>
  <c r="L258" i="1"/>
  <c r="M258" i="1" s="1"/>
  <c r="L532" i="1"/>
  <c r="M532" i="1" s="1"/>
  <c r="L674" i="1"/>
  <c r="M674" i="1" s="1"/>
  <c r="L118" i="1"/>
  <c r="M118" i="1" s="1"/>
  <c r="L370" i="1"/>
  <c r="M370" i="1" s="1"/>
  <c r="L593" i="1"/>
  <c r="M593" i="1" s="1"/>
  <c r="L106" i="1"/>
  <c r="M106" i="1" s="1"/>
  <c r="L143" i="1"/>
  <c r="M143" i="1" s="1"/>
  <c r="L42" i="1"/>
  <c r="M42" i="1" s="1"/>
  <c r="L276" i="1"/>
  <c r="M276" i="1" s="1"/>
  <c r="L157" i="1"/>
  <c r="M157" i="1" s="1"/>
  <c r="L333" i="1"/>
  <c r="M333" i="1" s="1"/>
  <c r="L488" i="1"/>
  <c r="M488" i="1" s="1"/>
  <c r="L632" i="1"/>
  <c r="M632" i="1" s="1"/>
  <c r="L195" i="1"/>
  <c r="M195" i="1" s="1"/>
  <c r="L38" i="1"/>
  <c r="M38" i="1" s="1"/>
  <c r="L349" i="1"/>
  <c r="M349" i="1" s="1"/>
  <c r="L194" i="1"/>
  <c r="M194" i="1" s="1"/>
  <c r="L37" i="1"/>
  <c r="M37" i="1" s="1"/>
  <c r="L284" i="1"/>
  <c r="M284" i="1" s="1"/>
  <c r="L141" i="1"/>
  <c r="M141" i="1" s="1"/>
  <c r="L321" i="1"/>
  <c r="M321" i="1" s="1"/>
  <c r="L477" i="1"/>
  <c r="M477" i="1" s="1"/>
  <c r="L621" i="1"/>
  <c r="M621" i="1" s="1"/>
  <c r="L111" i="1"/>
  <c r="M111" i="1" s="1"/>
  <c r="L293" i="1"/>
  <c r="M293" i="1" s="1"/>
  <c r="L466" i="1"/>
  <c r="M466" i="1" s="1"/>
  <c r="L658" i="1"/>
  <c r="M658" i="1" s="1"/>
  <c r="L82" i="1"/>
  <c r="M82" i="1" s="1"/>
  <c r="L266" i="1"/>
  <c r="M266" i="1" s="1"/>
  <c r="L428" i="1"/>
  <c r="M428" i="1" s="1"/>
  <c r="L575" i="1"/>
  <c r="M575" i="1" s="1"/>
  <c r="L146" i="1"/>
  <c r="M146" i="1" s="1"/>
  <c r="L324" i="1"/>
  <c r="M324" i="1" s="1"/>
  <c r="L480" i="1"/>
  <c r="M480" i="1" s="1"/>
  <c r="L624" i="1"/>
  <c r="M624" i="1" s="1"/>
  <c r="L132" i="1"/>
  <c r="M132" i="1" s="1"/>
  <c r="L311" i="1"/>
  <c r="M311" i="1" s="1"/>
  <c r="L637" i="1"/>
  <c r="M637" i="1" s="1"/>
  <c r="L86" i="1"/>
  <c r="M86" i="1" s="1"/>
  <c r="L270" i="1"/>
  <c r="M270" i="1" s="1"/>
  <c r="L432" i="1"/>
  <c r="M432" i="1" s="1"/>
  <c r="L579" i="1"/>
  <c r="M579" i="1" s="1"/>
  <c r="L54" i="1"/>
  <c r="M54" i="1" s="1"/>
  <c r="L196" i="1"/>
  <c r="M196" i="1" s="1"/>
  <c r="L698" i="1"/>
  <c r="M698" i="1" s="1"/>
  <c r="L275" i="1"/>
  <c r="M275" i="1" s="1"/>
  <c r="L473" i="1"/>
  <c r="M473" i="1" s="1"/>
  <c r="L652" i="1"/>
  <c r="M652" i="1" s="1"/>
  <c r="L183" i="1"/>
  <c r="M183" i="1" s="1"/>
  <c r="L133" i="1"/>
  <c r="M133" i="1" s="1"/>
  <c r="L423" i="1"/>
  <c r="M423" i="1" s="1"/>
  <c r="L215" i="1"/>
  <c r="M215" i="1" s="1"/>
  <c r="L496" i="1"/>
  <c r="M496" i="1" s="1"/>
  <c r="L638" i="1"/>
  <c r="M638" i="1" s="1"/>
  <c r="L69" i="1"/>
  <c r="M69" i="1" s="1"/>
  <c r="L331" i="1"/>
  <c r="M331" i="1" s="1"/>
  <c r="L557" i="1"/>
  <c r="M557" i="1" s="1"/>
  <c r="L55" i="1"/>
  <c r="M55" i="1" s="1"/>
  <c r="L52" i="1"/>
  <c r="M52" i="1" s="1"/>
  <c r="L29" i="1"/>
  <c r="M29" i="1" s="1"/>
  <c r="L259" i="1"/>
  <c r="M259" i="1" s="1"/>
  <c r="L262" i="1"/>
  <c r="M262" i="1" s="1"/>
  <c r="L464" i="1"/>
  <c r="M464" i="1" s="1"/>
  <c r="L463" i="1"/>
  <c r="M463" i="1" s="1"/>
  <c r="L346" i="1"/>
  <c r="M346" i="1" s="1"/>
  <c r="L500" i="1"/>
  <c r="M500" i="1" s="1"/>
  <c r="L644" i="1"/>
  <c r="M644" i="1" s="1"/>
  <c r="L182" i="1"/>
  <c r="M182" i="1" s="1"/>
  <c r="L25" i="1"/>
  <c r="M25" i="1" s="1"/>
  <c r="L337" i="1"/>
  <c r="M337" i="1" s="1"/>
  <c r="L181" i="1"/>
  <c r="M181" i="1" s="1"/>
  <c r="L24" i="1"/>
  <c r="M24" i="1" s="1"/>
  <c r="L272" i="1"/>
  <c r="M272" i="1" s="1"/>
  <c r="L128" i="1"/>
  <c r="M128" i="1" s="1"/>
  <c r="L158" i="1"/>
  <c r="M158" i="1" s="1"/>
  <c r="L334" i="1"/>
  <c r="M334" i="1" s="1"/>
  <c r="L489" i="1"/>
  <c r="M489" i="1" s="1"/>
  <c r="L633" i="1"/>
  <c r="M633" i="1" s="1"/>
  <c r="L126" i="1"/>
  <c r="M126" i="1" s="1"/>
  <c r="L307" i="1"/>
  <c r="M307" i="1" s="1"/>
  <c r="L478" i="1"/>
  <c r="M478" i="1" s="1"/>
  <c r="L670" i="1"/>
  <c r="M670" i="1" s="1"/>
  <c r="L97" i="1"/>
  <c r="M97" i="1" s="1"/>
  <c r="L280" i="1"/>
  <c r="M280" i="1" s="1"/>
  <c r="L441" i="1"/>
  <c r="M441" i="1" s="1"/>
  <c r="L161" i="1"/>
  <c r="M161" i="1" s="1"/>
  <c r="L492" i="1"/>
  <c r="M492" i="1" s="1"/>
  <c r="L636" i="1"/>
  <c r="M636" i="1" s="1"/>
  <c r="L147" i="1"/>
  <c r="M147" i="1" s="1"/>
  <c r="L326" i="1"/>
  <c r="M326" i="1" s="1"/>
  <c r="L481" i="1"/>
  <c r="M481" i="1" s="1"/>
  <c r="L661" i="1"/>
  <c r="M661" i="1" s="1"/>
  <c r="L101" i="1"/>
  <c r="M101" i="1" s="1"/>
  <c r="L285" i="1"/>
  <c r="M285" i="1" s="1"/>
  <c r="L446" i="1"/>
  <c r="M446" i="1" s="1"/>
  <c r="L591" i="1"/>
  <c r="M591" i="1" s="1"/>
  <c r="L444" i="1"/>
  <c r="M444" i="1" s="1"/>
  <c r="L243" i="1"/>
  <c r="M243" i="1" s="1"/>
  <c r="L231" i="1"/>
  <c r="M231" i="1" s="1"/>
  <c r="L435" i="1"/>
  <c r="M435" i="1" s="1"/>
  <c r="L616" i="1"/>
  <c r="M616" i="1" s="1"/>
  <c r="L135" i="1"/>
  <c r="M135" i="1" s="1"/>
  <c r="L85" i="1"/>
  <c r="M85" i="1" s="1"/>
  <c r="L383" i="1"/>
  <c r="M383" i="1" s="1"/>
  <c r="L641" i="1"/>
  <c r="M641" i="1" s="1"/>
  <c r="L167" i="1"/>
  <c r="M167" i="1" s="1"/>
  <c r="L460" i="1"/>
  <c r="M460" i="1" s="1"/>
  <c r="L602" i="1"/>
  <c r="M602" i="1" s="1"/>
  <c r="L530" i="1"/>
  <c r="M530" i="1" s="1"/>
  <c r="L289" i="1"/>
  <c r="M289" i="1" s="1"/>
  <c r="L521" i="1"/>
  <c r="M521" i="1" s="1"/>
  <c r="L34" i="1"/>
  <c r="M34" i="1" s="1"/>
  <c r="L209" i="1"/>
  <c r="M209" i="1" s="1"/>
  <c r="L434" i="1"/>
  <c r="M434" i="1" s="1"/>
  <c r="L461" i="1"/>
  <c r="M461" i="1" s="1"/>
  <c r="L558" i="1"/>
  <c r="M558" i="1" s="1"/>
  <c r="L413" i="1"/>
  <c r="M413" i="1" s="1"/>
  <c r="L388" i="1"/>
  <c r="M388" i="1" s="1"/>
  <c r="L66" i="1"/>
  <c r="M66" i="1" s="1"/>
  <c r="L74" i="1"/>
  <c r="M74" i="1" s="1"/>
  <c r="L608" i="1"/>
  <c r="M608" i="1" s="1"/>
  <c r="L138" i="1"/>
  <c r="M138" i="1" s="1"/>
  <c r="L318" i="1"/>
  <c r="M318" i="1" s="1"/>
  <c r="L475" i="1"/>
  <c r="M475" i="1" s="1"/>
  <c r="L359" i="1"/>
  <c r="M359" i="1" s="1"/>
  <c r="L512" i="1"/>
  <c r="M512" i="1" s="1"/>
  <c r="L656" i="1"/>
  <c r="M656" i="1" s="1"/>
  <c r="L169" i="1"/>
  <c r="M169" i="1" s="1"/>
  <c r="L12" i="1"/>
  <c r="M12" i="1" s="1"/>
  <c r="L168" i="1"/>
  <c r="M168" i="1" s="1"/>
  <c r="L11" i="1"/>
  <c r="M11" i="1" s="1"/>
  <c r="L260" i="1"/>
  <c r="M260" i="1" s="1"/>
  <c r="L116" i="1"/>
  <c r="M116" i="1" s="1"/>
  <c r="L173" i="1"/>
  <c r="M173" i="1" s="1"/>
  <c r="L347" i="1"/>
  <c r="M347" i="1" s="1"/>
  <c r="L501" i="1"/>
  <c r="M501" i="1" s="1"/>
  <c r="L645" i="1"/>
  <c r="M645" i="1" s="1"/>
  <c r="L144" i="1"/>
  <c r="M144" i="1" s="1"/>
  <c r="L322" i="1"/>
  <c r="M322" i="1" s="1"/>
  <c r="L490" i="1"/>
  <c r="M490" i="1" s="1"/>
  <c r="L112" i="1"/>
  <c r="M112" i="1" s="1"/>
  <c r="L294" i="1"/>
  <c r="M294" i="1" s="1"/>
  <c r="L454" i="1"/>
  <c r="M454" i="1" s="1"/>
  <c r="L599" i="1"/>
  <c r="M599" i="1" s="1"/>
  <c r="L177" i="1"/>
  <c r="M177" i="1" s="1"/>
  <c r="L504" i="1"/>
  <c r="M504" i="1" s="1"/>
  <c r="L648" i="1"/>
  <c r="M648" i="1" s="1"/>
  <c r="L162" i="1"/>
  <c r="M162" i="1" s="1"/>
  <c r="L339" i="1"/>
  <c r="M339" i="1" s="1"/>
  <c r="L493" i="1"/>
  <c r="M493" i="1" s="1"/>
  <c r="L685" i="1"/>
  <c r="M685" i="1" s="1"/>
  <c r="L119" i="1"/>
  <c r="M119" i="1" s="1"/>
  <c r="L300" i="1"/>
  <c r="M300" i="1" s="1"/>
  <c r="L459" i="1"/>
  <c r="M459" i="1" s="1"/>
  <c r="L603" i="1"/>
  <c r="M603" i="1" s="1"/>
  <c r="L662" i="1"/>
  <c r="M662" i="1" s="1"/>
  <c r="L484" i="1"/>
  <c r="M484" i="1" s="1"/>
  <c r="L654" i="1"/>
  <c r="M654" i="1" s="1"/>
  <c r="L185" i="1"/>
  <c r="M185" i="1" s="1"/>
  <c r="L395" i="1"/>
  <c r="M395" i="1" s="1"/>
  <c r="L580" i="1"/>
  <c r="M580" i="1" s="1"/>
  <c r="L87" i="1"/>
  <c r="M87" i="1" s="1"/>
  <c r="L15" i="1"/>
  <c r="M15" i="1" s="1"/>
  <c r="L344" i="1"/>
  <c r="M344" i="1" s="1"/>
  <c r="L605" i="1"/>
  <c r="M605" i="1" s="1"/>
  <c r="L121" i="1"/>
  <c r="M121" i="1" s="1"/>
  <c r="L420" i="1"/>
  <c r="M420" i="1" s="1"/>
  <c r="L566" i="1"/>
  <c r="M566" i="1" s="1"/>
  <c r="L2" i="1"/>
  <c r="M2" i="1" s="1"/>
  <c r="L245" i="1"/>
  <c r="M245" i="1" s="1"/>
  <c r="L485" i="1"/>
  <c r="M485" i="1" s="1"/>
  <c r="L360" i="1"/>
  <c r="M360" i="1" s="1"/>
  <c r="L513" i="1"/>
  <c r="M513" i="1" s="1"/>
  <c r="L657" i="1"/>
  <c r="M657" i="1" s="1"/>
  <c r="L159" i="1"/>
  <c r="M159" i="1" s="1"/>
  <c r="L335" i="1"/>
  <c r="M335" i="1" s="1"/>
  <c r="L502" i="1"/>
  <c r="M502" i="1" s="1"/>
  <c r="L127" i="1"/>
  <c r="M127" i="1" s="1"/>
  <c r="L309" i="1"/>
  <c r="M309" i="1" s="1"/>
  <c r="L467" i="1"/>
  <c r="M467" i="1" s="1"/>
  <c r="L192" i="1"/>
  <c r="M192" i="1" s="1"/>
  <c r="L364" i="1"/>
  <c r="M364" i="1" s="1"/>
  <c r="L516" i="1"/>
  <c r="M516" i="1" s="1"/>
  <c r="L660" i="1"/>
  <c r="M660" i="1" s="1"/>
  <c r="L178" i="1"/>
  <c r="M178" i="1" s="1"/>
  <c r="L352" i="1"/>
  <c r="M352" i="1" s="1"/>
  <c r="L517" i="1"/>
  <c r="M517" i="1" s="1"/>
  <c r="L134" i="1"/>
  <c r="M134" i="1" s="1"/>
  <c r="L615" i="1"/>
  <c r="M615" i="1" s="1"/>
  <c r="L618" i="1"/>
  <c r="M618" i="1" s="1"/>
  <c r="L137" i="1"/>
  <c r="M137" i="1" s="1"/>
  <c r="L356" i="1"/>
  <c r="M356" i="1" s="1"/>
  <c r="L544" i="1"/>
  <c r="M544" i="1" s="1"/>
  <c r="L16" i="1"/>
  <c r="M16" i="1" s="1"/>
  <c r="L650" i="1"/>
  <c r="M650" i="1" s="1"/>
  <c r="L303" i="1"/>
  <c r="M303" i="1" s="1"/>
  <c r="L569" i="1"/>
  <c r="M569" i="1" s="1"/>
  <c r="L72" i="1"/>
  <c r="M72" i="1" s="1"/>
  <c r="L458" i="1"/>
  <c r="M458" i="1" s="1"/>
  <c r="L666" i="1"/>
  <c r="M666" i="1" s="1"/>
  <c r="L201" i="1"/>
  <c r="M201" i="1" s="1"/>
  <c r="L448" i="1"/>
  <c r="M448" i="1" s="1"/>
  <c r="L508" i="1"/>
  <c r="M508" i="1" s="1"/>
  <c r="L614" i="1"/>
  <c r="M614" i="1" s="1"/>
  <c r="L269" i="1"/>
  <c r="M269" i="1" s="1"/>
  <c r="L261" i="1"/>
  <c r="M261" i="1" s="1"/>
  <c r="L533" i="1"/>
  <c r="M533" i="1" s="1"/>
  <c r="L578" i="1"/>
  <c r="M578" i="1" s="1"/>
  <c r="L342" i="1"/>
  <c r="M342" i="1" s="1"/>
  <c r="L418" i="1"/>
  <c r="M418" i="1" s="1"/>
  <c r="L630" i="1"/>
  <c r="M630" i="1" s="1"/>
  <c r="L153" i="1"/>
  <c r="M153" i="1" s="1"/>
  <c r="L408" i="1"/>
  <c r="M408" i="1" s="1"/>
  <c r="L582" i="1"/>
  <c r="M582" i="1" s="1"/>
  <c r="L186" i="1"/>
  <c r="M186" i="1" s="1"/>
  <c r="L511" i="1"/>
  <c r="M511" i="1" s="1"/>
  <c r="L655" i="1"/>
  <c r="M655" i="1" s="1"/>
  <c r="L41" i="1"/>
  <c r="M41" i="1" s="1"/>
  <c r="L234" i="1"/>
  <c r="M234" i="1" s="1"/>
  <c r="L399" i="1"/>
  <c r="M399" i="1" s="1"/>
  <c r="L548" i="1"/>
  <c r="M548" i="1" s="1"/>
  <c r="L130" i="1"/>
  <c r="M130" i="1" s="1"/>
  <c r="L433" i="1"/>
  <c r="M433" i="1" s="1"/>
  <c r="L286" i="1"/>
  <c r="M286" i="1" s="1"/>
  <c r="L129" i="1"/>
  <c r="M129" i="1" s="1"/>
  <c r="L49" i="1"/>
  <c r="M49" i="1" s="1"/>
  <c r="L224" i="1"/>
  <c r="M224" i="1" s="1"/>
  <c r="L80" i="1"/>
  <c r="M80" i="1" s="1"/>
  <c r="L21" i="1"/>
  <c r="M21" i="1" s="1"/>
  <c r="L219" i="1"/>
  <c r="M219" i="1" s="1"/>
  <c r="L387" i="1"/>
  <c r="M387" i="1" s="1"/>
  <c r="L190" i="1"/>
  <c r="M190" i="1" s="1"/>
  <c r="L362" i="1"/>
  <c r="M362" i="1" s="1"/>
  <c r="L526" i="1"/>
  <c r="M526" i="1" s="1"/>
  <c r="L160" i="1"/>
  <c r="M160" i="1" s="1"/>
  <c r="L336" i="1"/>
  <c r="M336" i="1" s="1"/>
  <c r="L491" i="1"/>
  <c r="M491" i="1" s="1"/>
  <c r="L635" i="1"/>
  <c r="M635" i="1" s="1"/>
  <c r="L225" i="1"/>
  <c r="M225" i="1" s="1"/>
  <c r="L390" i="1"/>
  <c r="M390" i="1" s="1"/>
  <c r="L540" i="1"/>
  <c r="M540" i="1" s="1"/>
  <c r="L7" i="1"/>
  <c r="M7" i="1" s="1"/>
  <c r="L210" i="1"/>
  <c r="M210" i="1" s="1"/>
  <c r="L378" i="1"/>
  <c r="M378" i="1" s="1"/>
  <c r="L541" i="1"/>
  <c r="M541" i="1" s="1"/>
  <c r="L165" i="1"/>
  <c r="M165" i="1" s="1"/>
  <c r="L341" i="1"/>
  <c r="M341" i="1" s="1"/>
  <c r="L495" i="1"/>
  <c r="M495" i="1" s="1"/>
  <c r="L639" i="1"/>
  <c r="M639" i="1" s="1"/>
  <c r="L368" i="1"/>
  <c r="M368" i="1" s="1"/>
  <c r="L546" i="1"/>
  <c r="M546" i="1" s="1"/>
  <c r="L30" i="1"/>
  <c r="M30" i="1" s="1"/>
  <c r="L274" i="1"/>
  <c r="M274" i="1" s="1"/>
  <c r="L472" i="1"/>
  <c r="M472" i="1" s="1"/>
  <c r="L542" i="1"/>
  <c r="M542" i="1" s="1"/>
  <c r="L216" i="1"/>
  <c r="M216" i="1" s="1"/>
  <c r="L497" i="1"/>
  <c r="M497" i="1" s="1"/>
  <c r="L353" i="1"/>
  <c r="M353" i="1" s="1"/>
  <c r="L301" i="1"/>
  <c r="M301" i="1" s="1"/>
  <c r="L379" i="1"/>
  <c r="M379" i="1" s="1"/>
  <c r="L594" i="1"/>
  <c r="M594" i="1" s="1"/>
  <c r="L107" i="1"/>
  <c r="M107" i="1" s="1"/>
  <c r="L369" i="1"/>
  <c r="M369" i="1" s="1"/>
</calcChain>
</file>

<file path=xl/sharedStrings.xml><?xml version="1.0" encoding="utf-8"?>
<sst xmlns="http://schemas.openxmlformats.org/spreadsheetml/2006/main" count="69" uniqueCount="32">
  <si>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</si>
  <si>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</si>
  <si>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</si>
  <si>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</si>
  <si>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</si>
  <si>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</si>
  <si>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</si>
  <si>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</si>
  <si>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</si>
  <si>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Row Labels</t>
  </si>
  <si>
    <t>Grand Total</t>
  </si>
  <si>
    <t>Average of Pregnancies</t>
  </si>
  <si>
    <t>Average of Glucose</t>
  </si>
  <si>
    <t>Average of Age</t>
  </si>
  <si>
    <t>Average of DiabetesPedigreeFunction</t>
  </si>
  <si>
    <t>Average of BMI</t>
  </si>
  <si>
    <t>Average of Insulin</t>
  </si>
  <si>
    <t>Average of SkinThickness</t>
  </si>
  <si>
    <t>Average of BloodPressure</t>
  </si>
  <si>
    <t>StdDev of Pregnancies</t>
  </si>
  <si>
    <t>StdDev of Glucose</t>
  </si>
  <si>
    <t>StdDev of BloodPressure</t>
  </si>
  <si>
    <t>StdDev of SkinThickness</t>
  </si>
  <si>
    <t>StdDev of Insulin</t>
  </si>
  <si>
    <t>StdDev of BMI</t>
  </si>
  <si>
    <t>StdDev of DiabetesPedigreeFunction</t>
  </si>
  <si>
    <t>StdDev of Age</t>
  </si>
  <si>
    <t>P(1)</t>
  </si>
  <si>
    <t>P(1/info</t>
  </si>
  <si>
    <t>P(0/info</t>
  </si>
  <si>
    <t>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</si>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</sst>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av" refreshedDate="46045.514459722224" createdVersion="8" refreshedVersion="8" minRefreshableVersion="3" recordCount="768" xr:uid="{383149FB-4FD1-4180-978A-14431E96DFB5}">
  <cacheSource type="worksheet">
    <worksheetSource ref="A1:I769" sheet="diabetes"/>
  </cacheSource>
  <cacheFields count="9">
    <cacheField name="Pregnancies" numFmtId="0">
      <sharedItems containsSemiMixedTypes="0" containsString="0" containsNumber="1" containsInteger="1" minValue="0" maxValue="17"/>
    </cacheField>
    <cacheField name="Glucose" numFmtId="0">
      <sharedItems containsSemiMixedTypes="0" containsString="0" containsNumber="1" containsInteger="1" minValue="0" maxValue="199"/>
    </cacheField>
    <cacheField name="BloodPressure" numFmtId="0">
      <sharedItems containsSemiMixedTypes="0" containsString="0" containsNumber="1" containsInteger="1" minValue="0" maxValue="122"/>
    </cacheField>
    <cacheField name="SkinThickness" numFmtId="0">
      <sharedItems containsSemiMixedTypes="0" containsString="0" containsNumber="1" containsInteger="1" minValue="0" maxValue="99"/>
    </cacheField>
    <cacheField name="Insulin" numFmtId="0">
      <sharedItems containsSemiMixedTypes="0" containsString="0" containsNumber="1" containsInteger="1" minValue="0" maxValue="846"/>
    </cacheField>
    <cacheField name="BMI" numFmtId="0">
      <sharedItems containsSemiMixedTypes="0" containsString="0" containsNumber="1" minValue="0" maxValue="67.099999999999994"/>
    </cacheField>
    <cacheField name="DiabetesPedigreeFunction" numFmtId="0">
      <sharedItems containsSemiMixedTypes="0" containsString="0" containsNumber="1" minValue="7.8E-2" maxValue="2.42"/>
    </cacheField>
    <cacheField name="Age" numFmtId="0">
      <sharedItems containsSemiMixedTypes="0" containsString="0" containsNumber="1" containsInteger="1" minValue="21" maxValue="81"/>
    </cacheField>
    <cacheField name="Outcom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n v="6"/>
    <n v="148"/>
    <n v="72"/>
    <n v="35"/>
    <n v="0"/>
    <n v="33.6"/>
    <n v="0.627"/>
    <n v="50"/>
    <x v="0"/>
  </r>
  <r>
    <n v="1"/>
    <n v="85"/>
    <n v="66"/>
    <n v="29"/>
    <n v="0"/>
    <n v="26.6"/>
    <n v="0.35099999999999998"/>
    <n v="31"/>
    <x v="1"/>
  </r>
  <r>
    <n v="8"/>
    <n v="183"/>
    <n v="64"/>
    <n v="0"/>
    <n v="0"/>
    <n v="23.3"/>
    <n v="0.67200000000000004"/>
    <n v="32"/>
    <x v="0"/>
  </r>
  <r>
    <n v="1"/>
    <n v="89"/>
    <n v="66"/>
    <n v="23"/>
    <n v="94"/>
    <n v="28.1"/>
    <n v="0.16700000000000001"/>
    <n v="21"/>
    <x v="1"/>
  </r>
  <r>
    <n v="0"/>
    <n v="137"/>
    <n v="40"/>
    <n v="35"/>
    <n v="168"/>
    <n v="43.1"/>
    <n v="2.2879999999999998"/>
    <n v="33"/>
    <x v="0"/>
  </r>
  <r>
    <n v="5"/>
    <n v="116"/>
    <n v="74"/>
    <n v="0"/>
    <n v="0"/>
    <n v="25.6"/>
    <n v="0.20100000000000001"/>
    <n v="30"/>
    <x v="1"/>
  </r>
  <r>
    <n v="3"/>
    <n v="78"/>
    <n v="50"/>
    <n v="32"/>
    <n v="88"/>
    <n v="31"/>
    <n v="0.248"/>
    <n v="26"/>
    <x v="0"/>
  </r>
  <r>
    <n v="10"/>
    <n v="115"/>
    <n v="0"/>
    <n v="0"/>
    <n v="0"/>
    <n v="35.299999999999997"/>
    <n v="0.13400000000000001"/>
    <n v="29"/>
    <x v="1"/>
  </r>
  <r>
    <n v="2"/>
    <n v="197"/>
    <n v="70"/>
    <n v="45"/>
    <n v="543"/>
    <n v="30.5"/>
    <n v="0.158"/>
    <n v="53"/>
    <x v="0"/>
  </r>
  <r>
    <n v="8"/>
    <n v="125"/>
    <n v="96"/>
    <n v="0"/>
    <n v="0"/>
    <n v="0"/>
    <n v="0.23200000000000001"/>
    <n v="54"/>
    <x v="0"/>
  </r>
  <r>
    <n v="4"/>
    <n v="110"/>
    <n v="92"/>
    <n v="0"/>
    <n v="0"/>
    <n v="37.6"/>
    <n v="0.191"/>
    <n v="30"/>
    <x v="1"/>
  </r>
  <r>
    <n v="10"/>
    <n v="168"/>
    <n v="74"/>
    <n v="0"/>
    <n v="0"/>
    <n v="38"/>
    <n v="0.53700000000000003"/>
    <n v="34"/>
    <x v="0"/>
  </r>
  <r>
    <n v="10"/>
    <n v="139"/>
    <n v="80"/>
    <n v="0"/>
    <n v="0"/>
    <n v="27.1"/>
    <n v="1.4410000000000001"/>
    <n v="57"/>
    <x v="1"/>
  </r>
  <r>
    <n v="1"/>
    <n v="189"/>
    <n v="60"/>
    <n v="23"/>
    <n v="846"/>
    <n v="30.1"/>
    <n v="0.39800000000000002"/>
    <n v="59"/>
    <x v="0"/>
  </r>
  <r>
    <n v="5"/>
    <n v="166"/>
    <n v="72"/>
    <n v="19"/>
    <n v="175"/>
    <n v="25.8"/>
    <n v="0.58699999999999997"/>
    <n v="51"/>
    <x v="0"/>
  </r>
  <r>
    <n v="7"/>
    <n v="100"/>
    <n v="0"/>
    <n v="0"/>
    <n v="0"/>
    <n v="30"/>
    <n v="0.48399999999999999"/>
    <n v="32"/>
    <x v="0"/>
  </r>
  <r>
    <n v="0"/>
    <n v="118"/>
    <n v="84"/>
    <n v="47"/>
    <n v="230"/>
    <n v="45.8"/>
    <n v="0.55100000000000005"/>
    <n v="31"/>
    <x v="0"/>
  </r>
  <r>
    <n v="7"/>
    <n v="107"/>
    <n v="74"/>
    <n v="0"/>
    <n v="0"/>
    <n v="29.6"/>
    <n v="0.254"/>
    <n v="31"/>
    <x v="0"/>
  </r>
  <r>
    <n v="1"/>
    <n v="103"/>
    <n v="30"/>
    <n v="38"/>
    <n v="83"/>
    <n v="43.3"/>
    <n v="0.183"/>
    <n v="33"/>
    <x v="1"/>
  </r>
  <r>
    <n v="1"/>
    <n v="115"/>
    <n v="70"/>
    <n v="30"/>
    <n v="96"/>
    <n v="34.6"/>
    <n v="0.52900000000000003"/>
    <n v="32"/>
    <x v="0"/>
  </r>
  <r>
    <n v="3"/>
    <n v="126"/>
    <n v="88"/>
    <n v="41"/>
    <n v="235"/>
    <n v="39.299999999999997"/>
    <n v="0.70399999999999996"/>
    <n v="27"/>
    <x v="1"/>
  </r>
  <r>
    <n v="8"/>
    <n v="99"/>
    <n v="84"/>
    <n v="0"/>
    <n v="0"/>
    <n v="35.4"/>
    <n v="0.38800000000000001"/>
    <n v="50"/>
    <x v="1"/>
  </r>
  <r>
    <n v="7"/>
    <n v="196"/>
    <n v="90"/>
    <n v="0"/>
    <n v="0"/>
    <n v="39.799999999999997"/>
    <n v="0.45100000000000001"/>
    <n v="41"/>
    <x v="0"/>
  </r>
  <r>
    <n v="9"/>
    <n v="119"/>
    <n v="80"/>
    <n v="35"/>
    <n v="0"/>
    <n v="29"/>
    <n v="0.26300000000000001"/>
    <n v="29"/>
    <x v="0"/>
  </r>
  <r>
    <n v="11"/>
    <n v="143"/>
    <n v="94"/>
    <n v="33"/>
    <n v="146"/>
    <n v="36.6"/>
    <n v="0.254"/>
    <n v="51"/>
    <x v="0"/>
  </r>
  <r>
    <n v="10"/>
    <n v="125"/>
    <n v="70"/>
    <n v="26"/>
    <n v="115"/>
    <n v="31.1"/>
    <n v="0.20499999999999999"/>
    <n v="41"/>
    <x v="0"/>
  </r>
  <r>
    <n v="7"/>
    <n v="147"/>
    <n v="76"/>
    <n v="0"/>
    <n v="0"/>
    <n v="39.4"/>
    <n v="0.25700000000000001"/>
    <n v="43"/>
    <x v="0"/>
  </r>
  <r>
    <n v="1"/>
    <n v="97"/>
    <n v="66"/>
    <n v="15"/>
    <n v="140"/>
    <n v="23.2"/>
    <n v="0.48699999999999999"/>
    <n v="22"/>
    <x v="1"/>
  </r>
  <r>
    <n v="13"/>
    <n v="145"/>
    <n v="82"/>
    <n v="19"/>
    <n v="110"/>
    <n v="22.2"/>
    <n v="0.245"/>
    <n v="57"/>
    <x v="1"/>
  </r>
  <r>
    <n v="5"/>
    <n v="117"/>
    <n v="92"/>
    <n v="0"/>
    <n v="0"/>
    <n v="34.1"/>
    <n v="0.33700000000000002"/>
    <n v="38"/>
    <x v="1"/>
  </r>
  <r>
    <n v="5"/>
    <n v="109"/>
    <n v="75"/>
    <n v="26"/>
    <n v="0"/>
    <n v="36"/>
    <n v="0.54600000000000004"/>
    <n v="60"/>
    <x v="1"/>
  </r>
  <r>
    <n v="3"/>
    <n v="158"/>
    <n v="76"/>
    <n v="36"/>
    <n v="245"/>
    <n v="31.6"/>
    <n v="0.85099999999999998"/>
    <n v="28"/>
    <x v="0"/>
  </r>
  <r>
    <n v="3"/>
    <n v="88"/>
    <n v="58"/>
    <n v="11"/>
    <n v="54"/>
    <n v="24.8"/>
    <n v="0.26700000000000002"/>
    <n v="22"/>
    <x v="1"/>
  </r>
  <r>
    <n v="6"/>
    <n v="92"/>
    <n v="92"/>
    <n v="0"/>
    <n v="0"/>
    <n v="19.899999999999999"/>
    <n v="0.188"/>
    <n v="28"/>
    <x v="1"/>
  </r>
  <r>
    <n v="10"/>
    <n v="122"/>
    <n v="78"/>
    <n v="31"/>
    <n v="0"/>
    <n v="27.6"/>
    <n v="0.51200000000000001"/>
    <n v="45"/>
    <x v="1"/>
  </r>
  <r>
    <n v="4"/>
    <n v="103"/>
    <n v="60"/>
    <n v="33"/>
    <n v="192"/>
    <n v="24"/>
    <n v="0.96599999999999997"/>
    <n v="33"/>
    <x v="1"/>
  </r>
  <r>
    <n v="11"/>
    <n v="138"/>
    <n v="76"/>
    <n v="0"/>
    <n v="0"/>
    <n v="33.200000000000003"/>
    <n v="0.42"/>
    <n v="35"/>
    <x v="1"/>
  </r>
  <r>
    <n v="9"/>
    <n v="102"/>
    <n v="76"/>
    <n v="37"/>
    <n v="0"/>
    <n v="32.9"/>
    <n v="0.66500000000000004"/>
    <n v="46"/>
    <x v="0"/>
  </r>
  <r>
    <n v="2"/>
    <n v="90"/>
    <n v="68"/>
    <n v="42"/>
    <n v="0"/>
    <n v="38.200000000000003"/>
    <n v="0.503"/>
    <n v="27"/>
    <x v="0"/>
  </r>
  <r>
    <n v="4"/>
    <n v="111"/>
    <n v="72"/>
    <n v="47"/>
    <n v="207"/>
    <n v="37.1"/>
    <n v="1.39"/>
    <n v="56"/>
    <x v="0"/>
  </r>
  <r>
    <n v="3"/>
    <n v="180"/>
    <n v="64"/>
    <n v="25"/>
    <n v="70"/>
    <n v="34"/>
    <n v="0.27100000000000002"/>
    <n v="26"/>
    <x v="1"/>
  </r>
  <r>
    <n v="7"/>
    <n v="133"/>
    <n v="84"/>
    <n v="0"/>
    <n v="0"/>
    <n v="40.200000000000003"/>
    <n v="0.69599999999999995"/>
    <n v="37"/>
    <x v="1"/>
  </r>
  <r>
    <n v="7"/>
    <n v="106"/>
    <n v="92"/>
    <n v="18"/>
    <n v="0"/>
    <n v="22.7"/>
    <n v="0.23499999999999999"/>
    <n v="48"/>
    <x v="1"/>
  </r>
  <r>
    <n v="9"/>
    <n v="171"/>
    <n v="110"/>
    <n v="24"/>
    <n v="240"/>
    <n v="45.4"/>
    <n v="0.72099999999999997"/>
    <n v="54"/>
    <x v="0"/>
  </r>
  <r>
    <n v="7"/>
    <n v="159"/>
    <n v="64"/>
    <n v="0"/>
    <n v="0"/>
    <n v="27.4"/>
    <n v="0.29399999999999998"/>
    <n v="40"/>
    <x v="1"/>
  </r>
  <r>
    <n v="0"/>
    <n v="180"/>
    <n v="66"/>
    <n v="39"/>
    <n v="0"/>
    <n v="42"/>
    <n v="1.893"/>
    <n v="25"/>
    <x v="0"/>
  </r>
  <r>
    <n v="1"/>
    <n v="146"/>
    <n v="56"/>
    <n v="0"/>
    <n v="0"/>
    <n v="29.7"/>
    <n v="0.56399999999999995"/>
    <n v="29"/>
    <x v="1"/>
  </r>
  <r>
    <n v="2"/>
    <n v="71"/>
    <n v="70"/>
    <n v="27"/>
    <n v="0"/>
    <n v="28"/>
    <n v="0.58599999999999997"/>
    <n v="22"/>
    <x v="1"/>
  </r>
  <r>
    <n v="7"/>
    <n v="103"/>
    <n v="66"/>
    <n v="32"/>
    <n v="0"/>
    <n v="39.1"/>
    <n v="0.34399999999999997"/>
    <n v="31"/>
    <x v="0"/>
  </r>
  <r>
    <n v="7"/>
    <n v="105"/>
    <n v="0"/>
    <n v="0"/>
    <n v="0"/>
    <n v="0"/>
    <n v="0.30499999999999999"/>
    <n v="24"/>
    <x v="1"/>
  </r>
  <r>
    <n v="1"/>
    <n v="103"/>
    <n v="80"/>
    <n v="11"/>
    <n v="82"/>
    <n v="19.399999999999999"/>
    <n v="0.49099999999999999"/>
    <n v="22"/>
    <x v="1"/>
  </r>
  <r>
    <n v="1"/>
    <n v="101"/>
    <n v="50"/>
    <n v="15"/>
    <n v="36"/>
    <n v="24.2"/>
    <n v="0.52600000000000002"/>
    <n v="26"/>
    <x v="1"/>
  </r>
  <r>
    <n v="5"/>
    <n v="88"/>
    <n v="66"/>
    <n v="21"/>
    <n v="23"/>
    <n v="24.4"/>
    <n v="0.34200000000000003"/>
    <n v="30"/>
    <x v="1"/>
  </r>
  <r>
    <n v="8"/>
    <n v="176"/>
    <n v="90"/>
    <n v="34"/>
    <n v="300"/>
    <n v="33.700000000000003"/>
    <n v="0.46700000000000003"/>
    <n v="58"/>
    <x v="0"/>
  </r>
  <r>
    <n v="7"/>
    <n v="150"/>
    <n v="66"/>
    <n v="42"/>
    <n v="342"/>
    <n v="34.700000000000003"/>
    <n v="0.71799999999999997"/>
    <n v="42"/>
    <x v="1"/>
  </r>
  <r>
    <n v="1"/>
    <n v="73"/>
    <n v="50"/>
    <n v="10"/>
    <n v="0"/>
    <n v="23"/>
    <n v="0.248"/>
    <n v="21"/>
    <x v="1"/>
  </r>
  <r>
    <n v="7"/>
    <n v="187"/>
    <n v="68"/>
    <n v="39"/>
    <n v="304"/>
    <n v="37.700000000000003"/>
    <n v="0.254"/>
    <n v="41"/>
    <x v="0"/>
  </r>
  <r>
    <n v="0"/>
    <n v="100"/>
    <n v="88"/>
    <n v="60"/>
    <n v="110"/>
    <n v="46.8"/>
    <n v="0.96199999999999997"/>
    <n v="31"/>
    <x v="1"/>
  </r>
  <r>
    <n v="0"/>
    <n v="146"/>
    <n v="82"/>
    <n v="0"/>
    <n v="0"/>
    <n v="40.5"/>
    <n v="1.7809999999999999"/>
    <n v="44"/>
    <x v="1"/>
  </r>
  <r>
    <n v="0"/>
    <n v="105"/>
    <n v="64"/>
    <n v="41"/>
    <n v="142"/>
    <n v="41.5"/>
    <n v="0.17299999999999999"/>
    <n v="22"/>
    <x v="1"/>
  </r>
  <r>
    <n v="2"/>
    <n v="84"/>
    <n v="0"/>
    <n v="0"/>
    <n v="0"/>
    <n v="0"/>
    <n v="0.30399999999999999"/>
    <n v="21"/>
    <x v="1"/>
  </r>
  <r>
    <n v="8"/>
    <n v="133"/>
    <n v="72"/>
    <n v="0"/>
    <n v="0"/>
    <n v="32.9"/>
    <n v="0.27"/>
    <n v="39"/>
    <x v="0"/>
  </r>
  <r>
    <n v="5"/>
    <n v="44"/>
    <n v="62"/>
    <n v="0"/>
    <n v="0"/>
    <n v="25"/>
    <n v="0.58699999999999997"/>
    <n v="36"/>
    <x v="1"/>
  </r>
  <r>
    <n v="2"/>
    <n v="141"/>
    <n v="58"/>
    <n v="34"/>
    <n v="128"/>
    <n v="25.4"/>
    <n v="0.69899999999999995"/>
    <n v="24"/>
    <x v="1"/>
  </r>
  <r>
    <n v="7"/>
    <n v="114"/>
    <n v="66"/>
    <n v="0"/>
    <n v="0"/>
    <n v="32.799999999999997"/>
    <n v="0.25800000000000001"/>
    <n v="42"/>
    <x v="0"/>
  </r>
  <r>
    <n v="5"/>
    <n v="99"/>
    <n v="74"/>
    <n v="27"/>
    <n v="0"/>
    <n v="29"/>
    <n v="0.20300000000000001"/>
    <n v="32"/>
    <x v="1"/>
  </r>
  <r>
    <n v="0"/>
    <n v="109"/>
    <n v="88"/>
    <n v="30"/>
    <n v="0"/>
    <n v="32.5"/>
    <n v="0.85499999999999998"/>
    <n v="38"/>
    <x v="0"/>
  </r>
  <r>
    <n v="2"/>
    <n v="109"/>
    <n v="92"/>
    <n v="0"/>
    <n v="0"/>
    <n v="42.7"/>
    <n v="0.84499999999999997"/>
    <n v="54"/>
    <x v="1"/>
  </r>
  <r>
    <n v="1"/>
    <n v="95"/>
    <n v="66"/>
    <n v="13"/>
    <n v="38"/>
    <n v="19.600000000000001"/>
    <n v="0.33400000000000002"/>
    <n v="25"/>
    <x v="1"/>
  </r>
  <r>
    <n v="4"/>
    <n v="146"/>
    <n v="85"/>
    <n v="27"/>
    <n v="100"/>
    <n v="28.9"/>
    <n v="0.189"/>
    <n v="27"/>
    <x v="1"/>
  </r>
  <r>
    <n v="2"/>
    <n v="100"/>
    <n v="66"/>
    <n v="20"/>
    <n v="90"/>
    <n v="32.9"/>
    <n v="0.86699999999999999"/>
    <n v="28"/>
    <x v="0"/>
  </r>
  <r>
    <n v="5"/>
    <n v="139"/>
    <n v="64"/>
    <n v="35"/>
    <n v="140"/>
    <n v="28.6"/>
    <n v="0.41099999999999998"/>
    <n v="26"/>
    <x v="1"/>
  </r>
  <r>
    <n v="13"/>
    <n v="126"/>
    <n v="90"/>
    <n v="0"/>
    <n v="0"/>
    <n v="43.4"/>
    <n v="0.58299999999999996"/>
    <n v="42"/>
    <x v="0"/>
  </r>
  <r>
    <n v="4"/>
    <n v="129"/>
    <n v="86"/>
    <n v="20"/>
    <n v="270"/>
    <n v="35.1"/>
    <n v="0.23100000000000001"/>
    <n v="23"/>
    <x v="1"/>
  </r>
  <r>
    <n v="1"/>
    <n v="79"/>
    <n v="75"/>
    <n v="30"/>
    <n v="0"/>
    <n v="32"/>
    <n v="0.39600000000000002"/>
    <n v="22"/>
    <x v="1"/>
  </r>
  <r>
    <n v="1"/>
    <n v="0"/>
    <n v="48"/>
    <n v="20"/>
    <n v="0"/>
    <n v="24.7"/>
    <n v="0.14000000000000001"/>
    <n v="22"/>
    <x v="1"/>
  </r>
  <r>
    <n v="7"/>
    <n v="62"/>
    <n v="78"/>
    <n v="0"/>
    <n v="0"/>
    <n v="32.6"/>
    <n v="0.39100000000000001"/>
    <n v="41"/>
    <x v="1"/>
  </r>
  <r>
    <n v="5"/>
    <n v="95"/>
    <n v="72"/>
    <n v="33"/>
    <n v="0"/>
    <n v="37.700000000000003"/>
    <n v="0.37"/>
    <n v="27"/>
    <x v="1"/>
  </r>
  <r>
    <n v="0"/>
    <n v="131"/>
    <n v="0"/>
    <n v="0"/>
    <n v="0"/>
    <n v="43.2"/>
    <n v="0.27"/>
    <n v="26"/>
    <x v="0"/>
  </r>
  <r>
    <n v="2"/>
    <n v="112"/>
    <n v="66"/>
    <n v="22"/>
    <n v="0"/>
    <n v="25"/>
    <n v="0.307"/>
    <n v="24"/>
    <x v="1"/>
  </r>
  <r>
    <n v="3"/>
    <n v="113"/>
    <n v="44"/>
    <n v="13"/>
    <n v="0"/>
    <n v="22.4"/>
    <n v="0.14000000000000001"/>
    <n v="22"/>
    <x v="1"/>
  </r>
  <r>
    <n v="2"/>
    <n v="74"/>
    <n v="0"/>
    <n v="0"/>
    <n v="0"/>
    <n v="0"/>
    <n v="0.10199999999999999"/>
    <n v="22"/>
    <x v="1"/>
  </r>
  <r>
    <n v="7"/>
    <n v="83"/>
    <n v="78"/>
    <n v="26"/>
    <n v="71"/>
    <n v="29.3"/>
    <n v="0.76700000000000002"/>
    <n v="36"/>
    <x v="1"/>
  </r>
  <r>
    <n v="0"/>
    <n v="101"/>
    <n v="65"/>
    <n v="28"/>
    <n v="0"/>
    <n v="24.6"/>
    <n v="0.23699999999999999"/>
    <n v="22"/>
    <x v="1"/>
  </r>
  <r>
    <n v="5"/>
    <n v="137"/>
    <n v="108"/>
    <n v="0"/>
    <n v="0"/>
    <n v="48.8"/>
    <n v="0.22700000000000001"/>
    <n v="37"/>
    <x v="0"/>
  </r>
  <r>
    <n v="2"/>
    <n v="110"/>
    <n v="74"/>
    <n v="29"/>
    <n v="125"/>
    <n v="32.4"/>
    <n v="0.69799999999999995"/>
    <n v="27"/>
    <x v="1"/>
  </r>
  <r>
    <n v="13"/>
    <n v="106"/>
    <n v="72"/>
    <n v="54"/>
    <n v="0"/>
    <n v="36.6"/>
    <n v="0.17799999999999999"/>
    <n v="45"/>
    <x v="1"/>
  </r>
  <r>
    <n v="2"/>
    <n v="100"/>
    <n v="68"/>
    <n v="25"/>
    <n v="71"/>
    <n v="38.5"/>
    <n v="0.32400000000000001"/>
    <n v="26"/>
    <x v="1"/>
  </r>
  <r>
    <n v="15"/>
    <n v="136"/>
    <n v="70"/>
    <n v="32"/>
    <n v="110"/>
    <n v="37.1"/>
    <n v="0.153"/>
    <n v="43"/>
    <x v="0"/>
  </r>
  <r>
    <n v="1"/>
    <n v="107"/>
    <n v="68"/>
    <n v="19"/>
    <n v="0"/>
    <n v="26.5"/>
    <n v="0.16500000000000001"/>
    <n v="24"/>
    <x v="1"/>
  </r>
  <r>
    <n v="1"/>
    <n v="80"/>
    <n v="55"/>
    <n v="0"/>
    <n v="0"/>
    <n v="19.100000000000001"/>
    <n v="0.25800000000000001"/>
    <n v="21"/>
    <x v="1"/>
  </r>
  <r>
    <n v="4"/>
    <n v="123"/>
    <n v="80"/>
    <n v="15"/>
    <n v="176"/>
    <n v="32"/>
    <n v="0.443"/>
    <n v="34"/>
    <x v="1"/>
  </r>
  <r>
    <n v="7"/>
    <n v="81"/>
    <n v="78"/>
    <n v="40"/>
    <n v="48"/>
    <n v="46.7"/>
    <n v="0.26100000000000001"/>
    <n v="42"/>
    <x v="1"/>
  </r>
  <r>
    <n v="4"/>
    <n v="134"/>
    <n v="72"/>
    <n v="0"/>
    <n v="0"/>
    <n v="23.8"/>
    <n v="0.27700000000000002"/>
    <n v="60"/>
    <x v="0"/>
  </r>
  <r>
    <n v="2"/>
    <n v="142"/>
    <n v="82"/>
    <n v="18"/>
    <n v="64"/>
    <n v="24.7"/>
    <n v="0.76100000000000001"/>
    <n v="21"/>
    <x v="1"/>
  </r>
  <r>
    <n v="6"/>
    <n v="144"/>
    <n v="72"/>
    <n v="27"/>
    <n v="228"/>
    <n v="33.9"/>
    <n v="0.255"/>
    <n v="40"/>
    <x v="1"/>
  </r>
  <r>
    <n v="2"/>
    <n v="92"/>
    <n v="62"/>
    <n v="28"/>
    <n v="0"/>
    <n v="31.6"/>
    <n v="0.13"/>
    <n v="24"/>
    <x v="1"/>
  </r>
  <r>
    <n v="1"/>
    <n v="71"/>
    <n v="48"/>
    <n v="18"/>
    <n v="76"/>
    <n v="20.399999999999999"/>
    <n v="0.32300000000000001"/>
    <n v="22"/>
    <x v="1"/>
  </r>
  <r>
    <n v="6"/>
    <n v="93"/>
    <n v="50"/>
    <n v="30"/>
    <n v="64"/>
    <n v="28.7"/>
    <n v="0.35599999999999998"/>
    <n v="23"/>
    <x v="1"/>
  </r>
  <r>
    <n v="1"/>
    <n v="122"/>
    <n v="90"/>
    <n v="51"/>
    <n v="220"/>
    <n v="49.7"/>
    <n v="0.32500000000000001"/>
    <n v="31"/>
    <x v="0"/>
  </r>
  <r>
    <n v="1"/>
    <n v="163"/>
    <n v="72"/>
    <n v="0"/>
    <n v="0"/>
    <n v="39"/>
    <n v="1.222"/>
    <n v="33"/>
    <x v="0"/>
  </r>
  <r>
    <n v="1"/>
    <n v="151"/>
    <n v="60"/>
    <n v="0"/>
    <n v="0"/>
    <n v="26.1"/>
    <n v="0.17899999999999999"/>
    <n v="22"/>
    <x v="1"/>
  </r>
  <r>
    <n v="0"/>
    <n v="125"/>
    <n v="96"/>
    <n v="0"/>
    <n v="0"/>
    <n v="22.5"/>
    <n v="0.26200000000000001"/>
    <n v="21"/>
    <x v="1"/>
  </r>
  <r>
    <n v="1"/>
    <n v="81"/>
    <n v="72"/>
    <n v="18"/>
    <n v="40"/>
    <n v="26.6"/>
    <n v="0.28299999999999997"/>
    <n v="24"/>
    <x v="1"/>
  </r>
  <r>
    <n v="2"/>
    <n v="85"/>
    <n v="65"/>
    <n v="0"/>
    <n v="0"/>
    <n v="39.6"/>
    <n v="0.93"/>
    <n v="27"/>
    <x v="1"/>
  </r>
  <r>
    <n v="1"/>
    <n v="126"/>
    <n v="56"/>
    <n v="29"/>
    <n v="152"/>
    <n v="28.7"/>
    <n v="0.80100000000000005"/>
    <n v="21"/>
    <x v="1"/>
  </r>
  <r>
    <n v="1"/>
    <n v="96"/>
    <n v="122"/>
    <n v="0"/>
    <n v="0"/>
    <n v="22.4"/>
    <n v="0.20699999999999999"/>
    <n v="27"/>
    <x v="1"/>
  </r>
  <r>
    <n v="4"/>
    <n v="144"/>
    <n v="58"/>
    <n v="28"/>
    <n v="140"/>
    <n v="29.5"/>
    <n v="0.28699999999999998"/>
    <n v="37"/>
    <x v="1"/>
  </r>
  <r>
    <n v="3"/>
    <n v="83"/>
    <n v="58"/>
    <n v="31"/>
    <n v="18"/>
    <n v="34.299999999999997"/>
    <n v="0.33600000000000002"/>
    <n v="25"/>
    <x v="1"/>
  </r>
  <r>
    <n v="0"/>
    <n v="95"/>
    <n v="85"/>
    <n v="25"/>
    <n v="36"/>
    <n v="37.4"/>
    <n v="0.247"/>
    <n v="24"/>
    <x v="0"/>
  </r>
  <r>
    <n v="3"/>
    <n v="171"/>
    <n v="72"/>
    <n v="33"/>
    <n v="135"/>
    <n v="33.299999999999997"/>
    <n v="0.19900000000000001"/>
    <n v="24"/>
    <x v="0"/>
  </r>
  <r>
    <n v="8"/>
    <n v="155"/>
    <n v="62"/>
    <n v="26"/>
    <n v="495"/>
    <n v="34"/>
    <n v="0.54300000000000004"/>
    <n v="46"/>
    <x v="0"/>
  </r>
  <r>
    <n v="1"/>
    <n v="89"/>
    <n v="76"/>
    <n v="34"/>
    <n v="37"/>
    <n v="31.2"/>
    <n v="0.192"/>
    <n v="23"/>
    <x v="1"/>
  </r>
  <r>
    <n v="4"/>
    <n v="76"/>
    <n v="62"/>
    <n v="0"/>
    <n v="0"/>
    <n v="34"/>
    <n v="0.39100000000000001"/>
    <n v="25"/>
    <x v="1"/>
  </r>
  <r>
    <n v="7"/>
    <n v="160"/>
    <n v="54"/>
    <n v="32"/>
    <n v="175"/>
    <n v="30.5"/>
    <n v="0.58799999999999997"/>
    <n v="39"/>
    <x v="0"/>
  </r>
  <r>
    <n v="4"/>
    <n v="146"/>
    <n v="92"/>
    <n v="0"/>
    <n v="0"/>
    <n v="31.2"/>
    <n v="0.53900000000000003"/>
    <n v="61"/>
    <x v="0"/>
  </r>
  <r>
    <n v="5"/>
    <n v="124"/>
    <n v="74"/>
    <n v="0"/>
    <n v="0"/>
    <n v="34"/>
    <n v="0.22"/>
    <n v="38"/>
    <x v="0"/>
  </r>
  <r>
    <n v="5"/>
    <n v="78"/>
    <n v="48"/>
    <n v="0"/>
    <n v="0"/>
    <n v="33.700000000000003"/>
    <n v="0.65400000000000003"/>
    <n v="25"/>
    <x v="1"/>
  </r>
  <r>
    <n v="4"/>
    <n v="97"/>
    <n v="60"/>
    <n v="23"/>
    <n v="0"/>
    <n v="28.2"/>
    <n v="0.443"/>
    <n v="22"/>
    <x v="1"/>
  </r>
  <r>
    <n v="4"/>
    <n v="99"/>
    <n v="76"/>
    <n v="15"/>
    <n v="51"/>
    <n v="23.2"/>
    <n v="0.223"/>
    <n v="21"/>
    <x v="1"/>
  </r>
  <r>
    <n v="0"/>
    <n v="162"/>
    <n v="76"/>
    <n v="56"/>
    <n v="100"/>
    <n v="53.2"/>
    <n v="0.75900000000000001"/>
    <n v="25"/>
    <x v="0"/>
  </r>
  <r>
    <n v="6"/>
    <n v="111"/>
    <n v="64"/>
    <n v="39"/>
    <n v="0"/>
    <n v="34.200000000000003"/>
    <n v="0.26"/>
    <n v="24"/>
    <x v="1"/>
  </r>
  <r>
    <n v="2"/>
    <n v="107"/>
    <n v="74"/>
    <n v="30"/>
    <n v="100"/>
    <n v="33.6"/>
    <n v="0.40400000000000003"/>
    <n v="23"/>
    <x v="1"/>
  </r>
  <r>
    <n v="5"/>
    <n v="132"/>
    <n v="80"/>
    <n v="0"/>
    <n v="0"/>
    <n v="26.8"/>
    <n v="0.186"/>
    <n v="69"/>
    <x v="1"/>
  </r>
  <r>
    <n v="0"/>
    <n v="113"/>
    <n v="76"/>
    <n v="0"/>
    <n v="0"/>
    <n v="33.299999999999997"/>
    <n v="0.27800000000000002"/>
    <n v="23"/>
    <x v="0"/>
  </r>
  <r>
    <n v="1"/>
    <n v="88"/>
    <n v="30"/>
    <n v="42"/>
    <n v="99"/>
    <n v="55"/>
    <n v="0.496"/>
    <n v="26"/>
    <x v="0"/>
  </r>
  <r>
    <n v="3"/>
    <n v="120"/>
    <n v="70"/>
    <n v="30"/>
    <n v="135"/>
    <n v="42.9"/>
    <n v="0.45200000000000001"/>
    <n v="30"/>
    <x v="1"/>
  </r>
  <r>
    <n v="1"/>
    <n v="118"/>
    <n v="58"/>
    <n v="36"/>
    <n v="94"/>
    <n v="33.299999999999997"/>
    <n v="0.26100000000000001"/>
    <n v="23"/>
    <x v="1"/>
  </r>
  <r>
    <n v="1"/>
    <n v="117"/>
    <n v="88"/>
    <n v="24"/>
    <n v="145"/>
    <n v="34.5"/>
    <n v="0.40300000000000002"/>
    <n v="40"/>
    <x v="0"/>
  </r>
  <r>
    <n v="0"/>
    <n v="105"/>
    <n v="84"/>
    <n v="0"/>
    <n v="0"/>
    <n v="27.9"/>
    <n v="0.74099999999999999"/>
    <n v="62"/>
    <x v="0"/>
  </r>
  <r>
    <n v="4"/>
    <n v="173"/>
    <n v="70"/>
    <n v="14"/>
    <n v="168"/>
    <n v="29.7"/>
    <n v="0.36099999999999999"/>
    <n v="33"/>
    <x v="0"/>
  </r>
  <r>
    <n v="9"/>
    <n v="122"/>
    <n v="56"/>
    <n v="0"/>
    <n v="0"/>
    <n v="33.299999999999997"/>
    <n v="1.1140000000000001"/>
    <n v="33"/>
    <x v="0"/>
  </r>
  <r>
    <n v="3"/>
    <n v="170"/>
    <n v="64"/>
    <n v="37"/>
    <n v="225"/>
    <n v="34.5"/>
    <n v="0.35599999999999998"/>
    <n v="30"/>
    <x v="0"/>
  </r>
  <r>
    <n v="8"/>
    <n v="84"/>
    <n v="74"/>
    <n v="31"/>
    <n v="0"/>
    <n v="38.299999999999997"/>
    <n v="0.45700000000000002"/>
    <n v="39"/>
    <x v="1"/>
  </r>
  <r>
    <n v="2"/>
    <n v="96"/>
    <n v="68"/>
    <n v="13"/>
    <n v="49"/>
    <n v="21.1"/>
    <n v="0.64700000000000002"/>
    <n v="26"/>
    <x v="1"/>
  </r>
  <r>
    <n v="2"/>
    <n v="125"/>
    <n v="60"/>
    <n v="20"/>
    <n v="140"/>
    <n v="33.799999999999997"/>
    <n v="8.7999999999999995E-2"/>
    <n v="31"/>
    <x v="1"/>
  </r>
  <r>
    <n v="0"/>
    <n v="100"/>
    <n v="70"/>
    <n v="26"/>
    <n v="50"/>
    <n v="30.8"/>
    <n v="0.59699999999999998"/>
    <n v="21"/>
    <x v="1"/>
  </r>
  <r>
    <n v="0"/>
    <n v="93"/>
    <n v="60"/>
    <n v="25"/>
    <n v="92"/>
    <n v="28.7"/>
    <n v="0.53200000000000003"/>
    <n v="22"/>
    <x v="1"/>
  </r>
  <r>
    <n v="0"/>
    <n v="129"/>
    <n v="80"/>
    <n v="0"/>
    <n v="0"/>
    <n v="31.2"/>
    <n v="0.70299999999999996"/>
    <n v="29"/>
    <x v="1"/>
  </r>
  <r>
    <n v="5"/>
    <n v="105"/>
    <n v="72"/>
    <n v="29"/>
    <n v="325"/>
    <n v="36.9"/>
    <n v="0.159"/>
    <n v="28"/>
    <x v="1"/>
  </r>
  <r>
    <n v="3"/>
    <n v="128"/>
    <n v="78"/>
    <n v="0"/>
    <n v="0"/>
    <n v="21.1"/>
    <n v="0.26800000000000002"/>
    <n v="55"/>
    <x v="1"/>
  </r>
  <r>
    <n v="5"/>
    <n v="106"/>
    <n v="82"/>
    <n v="30"/>
    <n v="0"/>
    <n v="39.5"/>
    <n v="0.28599999999999998"/>
    <n v="38"/>
    <x v="1"/>
  </r>
  <r>
    <n v="2"/>
    <n v="108"/>
    <n v="52"/>
    <n v="26"/>
    <n v="63"/>
    <n v="32.5"/>
    <n v="0.318"/>
    <n v="22"/>
    <x v="1"/>
  </r>
  <r>
    <n v="10"/>
    <n v="108"/>
    <n v="66"/>
    <n v="0"/>
    <n v="0"/>
    <n v="32.4"/>
    <n v="0.27200000000000002"/>
    <n v="42"/>
    <x v="0"/>
  </r>
  <r>
    <n v="4"/>
    <n v="154"/>
    <n v="62"/>
    <n v="31"/>
    <n v="284"/>
    <n v="32.799999999999997"/>
    <n v="0.23699999999999999"/>
    <n v="23"/>
    <x v="1"/>
  </r>
  <r>
    <n v="0"/>
    <n v="102"/>
    <n v="75"/>
    <n v="23"/>
    <n v="0"/>
    <n v="0"/>
    <n v="0.57199999999999995"/>
    <n v="21"/>
    <x v="1"/>
  </r>
  <r>
    <n v="9"/>
    <n v="57"/>
    <n v="80"/>
    <n v="37"/>
    <n v="0"/>
    <n v="32.799999999999997"/>
    <n v="9.6000000000000002E-2"/>
    <n v="41"/>
    <x v="1"/>
  </r>
  <r>
    <n v="2"/>
    <n v="106"/>
    <n v="64"/>
    <n v="35"/>
    <n v="119"/>
    <n v="30.5"/>
    <n v="1.4"/>
    <n v="34"/>
    <x v="1"/>
  </r>
  <r>
    <n v="5"/>
    <n v="147"/>
    <n v="78"/>
    <n v="0"/>
    <n v="0"/>
    <n v="33.700000000000003"/>
    <n v="0.218"/>
    <n v="65"/>
    <x v="1"/>
  </r>
  <r>
    <n v="2"/>
    <n v="90"/>
    <n v="70"/>
    <n v="17"/>
    <n v="0"/>
    <n v="27.3"/>
    <n v="8.5000000000000006E-2"/>
    <n v="22"/>
    <x v="1"/>
  </r>
  <r>
    <n v="1"/>
    <n v="136"/>
    <n v="74"/>
    <n v="50"/>
    <n v="204"/>
    <n v="37.4"/>
    <n v="0.39900000000000002"/>
    <n v="24"/>
    <x v="1"/>
  </r>
  <r>
    <n v="4"/>
    <n v="114"/>
    <n v="65"/>
    <n v="0"/>
    <n v="0"/>
    <n v="21.9"/>
    <n v="0.432"/>
    <n v="37"/>
    <x v="1"/>
  </r>
  <r>
    <n v="9"/>
    <n v="156"/>
    <n v="86"/>
    <n v="28"/>
    <n v="155"/>
    <n v="34.299999999999997"/>
    <n v="1.1890000000000001"/>
    <n v="42"/>
    <x v="0"/>
  </r>
  <r>
    <n v="1"/>
    <n v="153"/>
    <n v="82"/>
    <n v="42"/>
    <n v="485"/>
    <n v="40.6"/>
    <n v="0.68700000000000006"/>
    <n v="23"/>
    <x v="1"/>
  </r>
  <r>
    <n v="8"/>
    <n v="188"/>
    <n v="78"/>
    <n v="0"/>
    <n v="0"/>
    <n v="47.9"/>
    <n v="0.13700000000000001"/>
    <n v="43"/>
    <x v="0"/>
  </r>
  <r>
    <n v="7"/>
    <n v="152"/>
    <n v="88"/>
    <n v="44"/>
    <n v="0"/>
    <n v="50"/>
    <n v="0.33700000000000002"/>
    <n v="36"/>
    <x v="0"/>
  </r>
  <r>
    <n v="2"/>
    <n v="99"/>
    <n v="52"/>
    <n v="15"/>
    <n v="94"/>
    <n v="24.6"/>
    <n v="0.63700000000000001"/>
    <n v="21"/>
    <x v="1"/>
  </r>
  <r>
    <n v="1"/>
    <n v="109"/>
    <n v="56"/>
    <n v="21"/>
    <n v="135"/>
    <n v="25.2"/>
    <n v="0.83299999999999996"/>
    <n v="23"/>
    <x v="1"/>
  </r>
  <r>
    <n v="2"/>
    <n v="88"/>
    <n v="74"/>
    <n v="19"/>
    <n v="53"/>
    <n v="29"/>
    <n v="0.22900000000000001"/>
    <n v="22"/>
    <x v="1"/>
  </r>
  <r>
    <n v="17"/>
    <n v="163"/>
    <n v="72"/>
    <n v="41"/>
    <n v="114"/>
    <n v="40.9"/>
    <n v="0.81699999999999995"/>
    <n v="47"/>
    <x v="0"/>
  </r>
  <r>
    <n v="4"/>
    <n v="151"/>
    <n v="90"/>
    <n v="38"/>
    <n v="0"/>
    <n v="29.7"/>
    <n v="0.29399999999999998"/>
    <n v="36"/>
    <x v="1"/>
  </r>
  <r>
    <n v="7"/>
    <n v="102"/>
    <n v="74"/>
    <n v="40"/>
    <n v="105"/>
    <n v="37.200000000000003"/>
    <n v="0.20399999999999999"/>
    <n v="45"/>
    <x v="1"/>
  </r>
  <r>
    <n v="0"/>
    <n v="114"/>
    <n v="80"/>
    <n v="34"/>
    <n v="285"/>
    <n v="44.2"/>
    <n v="0.16700000000000001"/>
    <n v="27"/>
    <x v="1"/>
  </r>
  <r>
    <n v="2"/>
    <n v="100"/>
    <n v="64"/>
    <n v="23"/>
    <n v="0"/>
    <n v="29.7"/>
    <n v="0.36799999999999999"/>
    <n v="21"/>
    <x v="1"/>
  </r>
  <r>
    <n v="0"/>
    <n v="131"/>
    <n v="88"/>
    <n v="0"/>
    <n v="0"/>
    <n v="31.6"/>
    <n v="0.74299999999999999"/>
    <n v="32"/>
    <x v="0"/>
  </r>
  <r>
    <n v="6"/>
    <n v="104"/>
    <n v="74"/>
    <n v="18"/>
    <n v="156"/>
    <n v="29.9"/>
    <n v="0.72199999999999998"/>
    <n v="41"/>
    <x v="0"/>
  </r>
  <r>
    <n v="3"/>
    <n v="148"/>
    <n v="66"/>
    <n v="25"/>
    <n v="0"/>
    <n v="32.5"/>
    <n v="0.25600000000000001"/>
    <n v="22"/>
    <x v="1"/>
  </r>
  <r>
    <n v="4"/>
    <n v="120"/>
    <n v="68"/>
    <n v="0"/>
    <n v="0"/>
    <n v="29.6"/>
    <n v="0.70899999999999996"/>
    <n v="34"/>
    <x v="1"/>
  </r>
  <r>
    <n v="4"/>
    <n v="110"/>
    <n v="66"/>
    <n v="0"/>
    <n v="0"/>
    <n v="31.9"/>
    <n v="0.47099999999999997"/>
    <n v="29"/>
    <x v="1"/>
  </r>
  <r>
    <n v="3"/>
    <n v="111"/>
    <n v="90"/>
    <n v="12"/>
    <n v="78"/>
    <n v="28.4"/>
    <n v="0.495"/>
    <n v="29"/>
    <x v="1"/>
  </r>
  <r>
    <n v="6"/>
    <n v="102"/>
    <n v="82"/>
    <n v="0"/>
    <n v="0"/>
    <n v="30.8"/>
    <n v="0.18"/>
    <n v="36"/>
    <x v="0"/>
  </r>
  <r>
    <n v="6"/>
    <n v="134"/>
    <n v="70"/>
    <n v="23"/>
    <n v="130"/>
    <n v="35.4"/>
    <n v="0.54200000000000004"/>
    <n v="29"/>
    <x v="0"/>
  </r>
  <r>
    <n v="2"/>
    <n v="87"/>
    <n v="0"/>
    <n v="23"/>
    <n v="0"/>
    <n v="28.9"/>
    <n v="0.77300000000000002"/>
    <n v="25"/>
    <x v="1"/>
  </r>
  <r>
    <n v="1"/>
    <n v="79"/>
    <n v="60"/>
    <n v="42"/>
    <n v="48"/>
    <n v="43.5"/>
    <n v="0.67800000000000005"/>
    <n v="23"/>
    <x v="1"/>
  </r>
  <r>
    <n v="2"/>
    <n v="75"/>
    <n v="64"/>
    <n v="24"/>
    <n v="55"/>
    <n v="29.7"/>
    <n v="0.37"/>
    <n v="33"/>
    <x v="1"/>
  </r>
  <r>
    <n v="8"/>
    <n v="179"/>
    <n v="72"/>
    <n v="42"/>
    <n v="130"/>
    <n v="32.700000000000003"/>
    <n v="0.71899999999999997"/>
    <n v="36"/>
    <x v="0"/>
  </r>
  <r>
    <n v="6"/>
    <n v="85"/>
    <n v="78"/>
    <n v="0"/>
    <n v="0"/>
    <n v="31.2"/>
    <n v="0.38200000000000001"/>
    <n v="42"/>
    <x v="1"/>
  </r>
  <r>
    <n v="0"/>
    <n v="129"/>
    <n v="110"/>
    <n v="46"/>
    <n v="130"/>
    <n v="67.099999999999994"/>
    <n v="0.31900000000000001"/>
    <n v="26"/>
    <x v="0"/>
  </r>
  <r>
    <n v="5"/>
    <n v="143"/>
    <n v="78"/>
    <n v="0"/>
    <n v="0"/>
    <n v="45"/>
    <n v="0.19"/>
    <n v="47"/>
    <x v="1"/>
  </r>
  <r>
    <n v="5"/>
    <n v="130"/>
    <n v="82"/>
    <n v="0"/>
    <n v="0"/>
    <n v="39.1"/>
    <n v="0.95599999999999996"/>
    <n v="37"/>
    <x v="0"/>
  </r>
  <r>
    <n v="6"/>
    <n v="87"/>
    <n v="80"/>
    <n v="0"/>
    <n v="0"/>
    <n v="23.2"/>
    <n v="8.4000000000000005E-2"/>
    <n v="32"/>
    <x v="1"/>
  </r>
  <r>
    <n v="0"/>
    <n v="119"/>
    <n v="64"/>
    <n v="18"/>
    <n v="92"/>
    <n v="34.9"/>
    <n v="0.72499999999999998"/>
    <n v="23"/>
    <x v="1"/>
  </r>
  <r>
    <n v="1"/>
    <n v="0"/>
    <n v="74"/>
    <n v="20"/>
    <n v="23"/>
    <n v="27.7"/>
    <n v="0.29899999999999999"/>
    <n v="21"/>
    <x v="1"/>
  </r>
  <r>
    <n v="5"/>
    <n v="73"/>
    <n v="60"/>
    <n v="0"/>
    <n v="0"/>
    <n v="26.8"/>
    <n v="0.26800000000000002"/>
    <n v="27"/>
    <x v="1"/>
  </r>
  <r>
    <n v="4"/>
    <n v="141"/>
    <n v="74"/>
    <n v="0"/>
    <n v="0"/>
    <n v="27.6"/>
    <n v="0.24399999999999999"/>
    <n v="40"/>
    <x v="1"/>
  </r>
  <r>
    <n v="7"/>
    <n v="194"/>
    <n v="68"/>
    <n v="28"/>
    <n v="0"/>
    <n v="35.9"/>
    <n v="0.745"/>
    <n v="41"/>
    <x v="0"/>
  </r>
  <r>
    <n v="8"/>
    <n v="181"/>
    <n v="68"/>
    <n v="36"/>
    <n v="495"/>
    <n v="30.1"/>
    <n v="0.61499999999999999"/>
    <n v="60"/>
    <x v="0"/>
  </r>
  <r>
    <n v="1"/>
    <n v="128"/>
    <n v="98"/>
    <n v="41"/>
    <n v="58"/>
    <n v="32"/>
    <n v="1.321"/>
    <n v="33"/>
    <x v="0"/>
  </r>
  <r>
    <n v="8"/>
    <n v="109"/>
    <n v="76"/>
    <n v="39"/>
    <n v="114"/>
    <n v="27.9"/>
    <n v="0.64"/>
    <n v="31"/>
    <x v="0"/>
  </r>
  <r>
    <n v="5"/>
    <n v="139"/>
    <n v="80"/>
    <n v="35"/>
    <n v="160"/>
    <n v="31.6"/>
    <n v="0.36099999999999999"/>
    <n v="25"/>
    <x v="0"/>
  </r>
  <r>
    <n v="3"/>
    <n v="111"/>
    <n v="62"/>
    <n v="0"/>
    <n v="0"/>
    <n v="22.6"/>
    <n v="0.14199999999999999"/>
    <n v="21"/>
    <x v="1"/>
  </r>
  <r>
    <n v="9"/>
    <n v="123"/>
    <n v="70"/>
    <n v="44"/>
    <n v="94"/>
    <n v="33.1"/>
    <n v="0.374"/>
    <n v="40"/>
    <x v="1"/>
  </r>
  <r>
    <n v="7"/>
    <n v="159"/>
    <n v="66"/>
    <n v="0"/>
    <n v="0"/>
    <n v="30.4"/>
    <n v="0.38300000000000001"/>
    <n v="36"/>
    <x v="0"/>
  </r>
  <r>
    <n v="11"/>
    <n v="135"/>
    <n v="0"/>
    <n v="0"/>
    <n v="0"/>
    <n v="52.3"/>
    <n v="0.57799999999999996"/>
    <n v="40"/>
    <x v="0"/>
  </r>
  <r>
    <n v="8"/>
    <n v="85"/>
    <n v="55"/>
    <n v="20"/>
    <n v="0"/>
    <n v="24.4"/>
    <n v="0.13600000000000001"/>
    <n v="42"/>
    <x v="1"/>
  </r>
  <r>
    <n v="5"/>
    <n v="158"/>
    <n v="84"/>
    <n v="41"/>
    <n v="210"/>
    <n v="39.4"/>
    <n v="0.39500000000000002"/>
    <n v="29"/>
    <x v="0"/>
  </r>
  <r>
    <n v="1"/>
    <n v="105"/>
    <n v="58"/>
    <n v="0"/>
    <n v="0"/>
    <n v="24.3"/>
    <n v="0.187"/>
    <n v="21"/>
    <x v="1"/>
  </r>
  <r>
    <n v="3"/>
    <n v="107"/>
    <n v="62"/>
    <n v="13"/>
    <n v="48"/>
    <n v="22.9"/>
    <n v="0.67800000000000005"/>
    <n v="23"/>
    <x v="0"/>
  </r>
  <r>
    <n v="4"/>
    <n v="109"/>
    <n v="64"/>
    <n v="44"/>
    <n v="99"/>
    <n v="34.799999999999997"/>
    <n v="0.90500000000000003"/>
    <n v="26"/>
    <x v="0"/>
  </r>
  <r>
    <n v="4"/>
    <n v="148"/>
    <n v="60"/>
    <n v="27"/>
    <n v="318"/>
    <n v="30.9"/>
    <n v="0.15"/>
    <n v="29"/>
    <x v="0"/>
  </r>
  <r>
    <n v="0"/>
    <n v="113"/>
    <n v="80"/>
    <n v="16"/>
    <n v="0"/>
    <n v="31"/>
    <n v="0.874"/>
    <n v="21"/>
    <x v="1"/>
  </r>
  <r>
    <n v="1"/>
    <n v="138"/>
    <n v="82"/>
    <n v="0"/>
    <n v="0"/>
    <n v="40.1"/>
    <n v="0.23599999999999999"/>
    <n v="28"/>
    <x v="1"/>
  </r>
  <r>
    <n v="0"/>
    <n v="108"/>
    <n v="68"/>
    <n v="20"/>
    <n v="0"/>
    <n v="27.3"/>
    <n v="0.78700000000000003"/>
    <n v="32"/>
    <x v="1"/>
  </r>
  <r>
    <n v="2"/>
    <n v="99"/>
    <n v="70"/>
    <n v="16"/>
    <n v="44"/>
    <n v="20.399999999999999"/>
    <n v="0.23499999999999999"/>
    <n v="27"/>
    <x v="1"/>
  </r>
  <r>
    <n v="6"/>
    <n v="103"/>
    <n v="72"/>
    <n v="32"/>
    <n v="190"/>
    <n v="37.700000000000003"/>
    <n v="0.32400000000000001"/>
    <n v="55"/>
    <x v="1"/>
  </r>
  <r>
    <n v="5"/>
    <n v="111"/>
    <n v="72"/>
    <n v="28"/>
    <n v="0"/>
    <n v="23.9"/>
    <n v="0.40699999999999997"/>
    <n v="27"/>
    <x v="1"/>
  </r>
  <r>
    <n v="8"/>
    <n v="196"/>
    <n v="76"/>
    <n v="29"/>
    <n v="280"/>
    <n v="37.5"/>
    <n v="0.60499999999999998"/>
    <n v="57"/>
    <x v="0"/>
  </r>
  <r>
    <n v="5"/>
    <n v="162"/>
    <n v="104"/>
    <n v="0"/>
    <n v="0"/>
    <n v="37.700000000000003"/>
    <n v="0.151"/>
    <n v="52"/>
    <x v="0"/>
  </r>
  <r>
    <n v="1"/>
    <n v="96"/>
    <n v="64"/>
    <n v="27"/>
    <n v="87"/>
    <n v="33.200000000000003"/>
    <n v="0.28899999999999998"/>
    <n v="21"/>
    <x v="1"/>
  </r>
  <r>
    <n v="7"/>
    <n v="184"/>
    <n v="84"/>
    <n v="33"/>
    <n v="0"/>
    <n v="35.5"/>
    <n v="0.35499999999999998"/>
    <n v="41"/>
    <x v="0"/>
  </r>
  <r>
    <n v="2"/>
    <n v="81"/>
    <n v="60"/>
    <n v="22"/>
    <n v="0"/>
    <n v="27.7"/>
    <n v="0.28999999999999998"/>
    <n v="25"/>
    <x v="1"/>
  </r>
  <r>
    <n v="0"/>
    <n v="147"/>
    <n v="85"/>
    <n v="54"/>
    <n v="0"/>
    <n v="42.8"/>
    <n v="0.375"/>
    <n v="24"/>
    <x v="1"/>
  </r>
  <r>
    <n v="7"/>
    <n v="179"/>
    <n v="95"/>
    <n v="31"/>
    <n v="0"/>
    <n v="34.200000000000003"/>
    <n v="0.16400000000000001"/>
    <n v="60"/>
    <x v="1"/>
  </r>
  <r>
    <n v="0"/>
    <n v="140"/>
    <n v="65"/>
    <n v="26"/>
    <n v="130"/>
    <n v="42.6"/>
    <n v="0.43099999999999999"/>
    <n v="24"/>
    <x v="0"/>
  </r>
  <r>
    <n v="9"/>
    <n v="112"/>
    <n v="82"/>
    <n v="32"/>
    <n v="175"/>
    <n v="34.200000000000003"/>
    <n v="0.26"/>
    <n v="36"/>
    <x v="0"/>
  </r>
  <r>
    <n v="12"/>
    <n v="151"/>
    <n v="70"/>
    <n v="40"/>
    <n v="271"/>
    <n v="41.8"/>
    <n v="0.74199999999999999"/>
    <n v="38"/>
    <x v="0"/>
  </r>
  <r>
    <n v="5"/>
    <n v="109"/>
    <n v="62"/>
    <n v="41"/>
    <n v="129"/>
    <n v="35.799999999999997"/>
    <n v="0.51400000000000001"/>
    <n v="25"/>
    <x v="0"/>
  </r>
  <r>
    <n v="6"/>
    <n v="125"/>
    <n v="68"/>
    <n v="30"/>
    <n v="120"/>
    <n v="30"/>
    <n v="0.46400000000000002"/>
    <n v="32"/>
    <x v="1"/>
  </r>
  <r>
    <n v="5"/>
    <n v="85"/>
    <n v="74"/>
    <n v="22"/>
    <n v="0"/>
    <n v="29"/>
    <n v="1.224"/>
    <n v="32"/>
    <x v="0"/>
  </r>
  <r>
    <n v="5"/>
    <n v="112"/>
    <n v="66"/>
    <n v="0"/>
    <n v="0"/>
    <n v="37.799999999999997"/>
    <n v="0.26100000000000001"/>
    <n v="41"/>
    <x v="0"/>
  </r>
  <r>
    <n v="0"/>
    <n v="177"/>
    <n v="60"/>
    <n v="29"/>
    <n v="478"/>
    <n v="34.6"/>
    <n v="1.0720000000000001"/>
    <n v="21"/>
    <x v="0"/>
  </r>
  <r>
    <n v="2"/>
    <n v="158"/>
    <n v="90"/>
    <n v="0"/>
    <n v="0"/>
    <n v="31.6"/>
    <n v="0.80500000000000005"/>
    <n v="66"/>
    <x v="0"/>
  </r>
  <r>
    <n v="7"/>
    <n v="119"/>
    <n v="0"/>
    <n v="0"/>
    <n v="0"/>
    <n v="25.2"/>
    <n v="0.20899999999999999"/>
    <n v="37"/>
    <x v="1"/>
  </r>
  <r>
    <n v="7"/>
    <n v="142"/>
    <n v="60"/>
    <n v="33"/>
    <n v="190"/>
    <n v="28.8"/>
    <n v="0.68700000000000006"/>
    <n v="61"/>
    <x v="1"/>
  </r>
  <r>
    <n v="1"/>
    <n v="100"/>
    <n v="66"/>
    <n v="15"/>
    <n v="56"/>
    <n v="23.6"/>
    <n v="0.66600000000000004"/>
    <n v="26"/>
    <x v="1"/>
  </r>
  <r>
    <n v="1"/>
    <n v="87"/>
    <n v="78"/>
    <n v="27"/>
    <n v="32"/>
    <n v="34.6"/>
    <n v="0.10100000000000001"/>
    <n v="22"/>
    <x v="1"/>
  </r>
  <r>
    <n v="0"/>
    <n v="101"/>
    <n v="76"/>
    <n v="0"/>
    <n v="0"/>
    <n v="35.700000000000003"/>
    <n v="0.19800000000000001"/>
    <n v="26"/>
    <x v="1"/>
  </r>
  <r>
    <n v="3"/>
    <n v="162"/>
    <n v="52"/>
    <n v="38"/>
    <n v="0"/>
    <n v="37.200000000000003"/>
    <n v="0.65200000000000002"/>
    <n v="24"/>
    <x v="0"/>
  </r>
  <r>
    <n v="4"/>
    <n v="197"/>
    <n v="70"/>
    <n v="39"/>
    <n v="744"/>
    <n v="36.700000000000003"/>
    <n v="2.3290000000000002"/>
    <n v="31"/>
    <x v="1"/>
  </r>
  <r>
    <n v="0"/>
    <n v="117"/>
    <n v="80"/>
    <n v="31"/>
    <n v="53"/>
    <n v="45.2"/>
    <n v="8.8999999999999996E-2"/>
    <n v="24"/>
    <x v="1"/>
  </r>
  <r>
    <n v="4"/>
    <n v="142"/>
    <n v="86"/>
    <n v="0"/>
    <n v="0"/>
    <n v="44"/>
    <n v="0.64500000000000002"/>
    <n v="22"/>
    <x v="0"/>
  </r>
  <r>
    <n v="6"/>
    <n v="134"/>
    <n v="80"/>
    <n v="37"/>
    <n v="370"/>
    <n v="46.2"/>
    <n v="0.23799999999999999"/>
    <n v="46"/>
    <x v="0"/>
  </r>
  <r>
    <n v="1"/>
    <n v="79"/>
    <n v="80"/>
    <n v="25"/>
    <n v="37"/>
    <n v="25.4"/>
    <n v="0.58299999999999996"/>
    <n v="22"/>
    <x v="1"/>
  </r>
  <r>
    <n v="4"/>
    <n v="122"/>
    <n v="68"/>
    <n v="0"/>
    <n v="0"/>
    <n v="35"/>
    <n v="0.39400000000000002"/>
    <n v="29"/>
    <x v="1"/>
  </r>
  <r>
    <n v="3"/>
    <n v="74"/>
    <n v="68"/>
    <n v="28"/>
    <n v="45"/>
    <n v="29.7"/>
    <n v="0.29299999999999998"/>
    <n v="23"/>
    <x v="1"/>
  </r>
  <r>
    <n v="4"/>
    <n v="171"/>
    <n v="72"/>
    <n v="0"/>
    <n v="0"/>
    <n v="43.6"/>
    <n v="0.47899999999999998"/>
    <n v="26"/>
    <x v="0"/>
  </r>
  <r>
    <n v="7"/>
    <n v="181"/>
    <n v="84"/>
    <n v="21"/>
    <n v="192"/>
    <n v="35.9"/>
    <n v="0.58599999999999997"/>
    <n v="51"/>
    <x v="0"/>
  </r>
  <r>
    <n v="0"/>
    <n v="179"/>
    <n v="90"/>
    <n v="27"/>
    <n v="0"/>
    <n v="44.1"/>
    <n v="0.68600000000000005"/>
    <n v="23"/>
    <x v="0"/>
  </r>
  <r>
    <n v="9"/>
    <n v="164"/>
    <n v="84"/>
    <n v="21"/>
    <n v="0"/>
    <n v="30.8"/>
    <n v="0.83099999999999996"/>
    <n v="32"/>
    <x v="0"/>
  </r>
  <r>
    <n v="0"/>
    <n v="104"/>
    <n v="76"/>
    <n v="0"/>
    <n v="0"/>
    <n v="18.399999999999999"/>
    <n v="0.58199999999999996"/>
    <n v="27"/>
    <x v="1"/>
  </r>
  <r>
    <n v="1"/>
    <n v="91"/>
    <n v="64"/>
    <n v="24"/>
    <n v="0"/>
    <n v="29.2"/>
    <n v="0.192"/>
    <n v="21"/>
    <x v="1"/>
  </r>
  <r>
    <n v="4"/>
    <n v="91"/>
    <n v="70"/>
    <n v="32"/>
    <n v="88"/>
    <n v="33.1"/>
    <n v="0.44600000000000001"/>
    <n v="22"/>
    <x v="1"/>
  </r>
  <r>
    <n v="3"/>
    <n v="139"/>
    <n v="54"/>
    <n v="0"/>
    <n v="0"/>
    <n v="25.6"/>
    <n v="0.40200000000000002"/>
    <n v="22"/>
    <x v="0"/>
  </r>
  <r>
    <n v="6"/>
    <n v="119"/>
    <n v="50"/>
    <n v="22"/>
    <n v="176"/>
    <n v="27.1"/>
    <n v="1.3180000000000001"/>
    <n v="33"/>
    <x v="0"/>
  </r>
  <r>
    <n v="2"/>
    <n v="146"/>
    <n v="76"/>
    <n v="35"/>
    <n v="194"/>
    <n v="38.200000000000003"/>
    <n v="0.32900000000000001"/>
    <n v="29"/>
    <x v="1"/>
  </r>
  <r>
    <n v="9"/>
    <n v="184"/>
    <n v="85"/>
    <n v="15"/>
    <n v="0"/>
    <n v="30"/>
    <n v="1.2130000000000001"/>
    <n v="49"/>
    <x v="0"/>
  </r>
  <r>
    <n v="10"/>
    <n v="122"/>
    <n v="68"/>
    <n v="0"/>
    <n v="0"/>
    <n v="31.2"/>
    <n v="0.25800000000000001"/>
    <n v="41"/>
    <x v="1"/>
  </r>
  <r>
    <n v="0"/>
    <n v="165"/>
    <n v="90"/>
    <n v="33"/>
    <n v="680"/>
    <n v="52.3"/>
    <n v="0.42699999999999999"/>
    <n v="23"/>
    <x v="1"/>
  </r>
  <r>
    <n v="9"/>
    <n v="124"/>
    <n v="70"/>
    <n v="33"/>
    <n v="402"/>
    <n v="35.4"/>
    <n v="0.28199999999999997"/>
    <n v="34"/>
    <x v="1"/>
  </r>
  <r>
    <n v="1"/>
    <n v="111"/>
    <n v="86"/>
    <n v="19"/>
    <n v="0"/>
    <n v="30.1"/>
    <n v="0.14299999999999999"/>
    <n v="23"/>
    <x v="1"/>
  </r>
  <r>
    <n v="9"/>
    <n v="106"/>
    <n v="52"/>
    <n v="0"/>
    <n v="0"/>
    <n v="31.2"/>
    <n v="0.38"/>
    <n v="42"/>
    <x v="1"/>
  </r>
  <r>
    <n v="2"/>
    <n v="129"/>
    <n v="84"/>
    <n v="0"/>
    <n v="0"/>
    <n v="28"/>
    <n v="0.28399999999999997"/>
    <n v="27"/>
    <x v="1"/>
  </r>
  <r>
    <n v="2"/>
    <n v="90"/>
    <n v="80"/>
    <n v="14"/>
    <n v="55"/>
    <n v="24.4"/>
    <n v="0.249"/>
    <n v="24"/>
    <x v="1"/>
  </r>
  <r>
    <n v="0"/>
    <n v="86"/>
    <n v="68"/>
    <n v="32"/>
    <n v="0"/>
    <n v="35.799999999999997"/>
    <n v="0.23799999999999999"/>
    <n v="25"/>
    <x v="1"/>
  </r>
  <r>
    <n v="12"/>
    <n v="92"/>
    <n v="62"/>
    <n v="7"/>
    <n v="258"/>
    <n v="27.6"/>
    <n v="0.92600000000000005"/>
    <n v="44"/>
    <x v="0"/>
  </r>
  <r>
    <n v="1"/>
    <n v="113"/>
    <n v="64"/>
    <n v="35"/>
    <n v="0"/>
    <n v="33.6"/>
    <n v="0.54300000000000004"/>
    <n v="21"/>
    <x v="0"/>
  </r>
  <r>
    <n v="3"/>
    <n v="111"/>
    <n v="56"/>
    <n v="39"/>
    <n v="0"/>
    <n v="30.1"/>
    <n v="0.55700000000000005"/>
    <n v="30"/>
    <x v="1"/>
  </r>
  <r>
    <n v="2"/>
    <n v="114"/>
    <n v="68"/>
    <n v="22"/>
    <n v="0"/>
    <n v="28.7"/>
    <n v="9.1999999999999998E-2"/>
    <n v="25"/>
    <x v="1"/>
  </r>
  <r>
    <n v="1"/>
    <n v="193"/>
    <n v="50"/>
    <n v="16"/>
    <n v="375"/>
    <n v="25.9"/>
    <n v="0.65500000000000003"/>
    <n v="24"/>
    <x v="1"/>
  </r>
  <r>
    <n v="11"/>
    <n v="155"/>
    <n v="76"/>
    <n v="28"/>
    <n v="150"/>
    <n v="33.299999999999997"/>
    <n v="1.353"/>
    <n v="51"/>
    <x v="0"/>
  </r>
  <r>
    <n v="3"/>
    <n v="191"/>
    <n v="68"/>
    <n v="15"/>
    <n v="130"/>
    <n v="30.9"/>
    <n v="0.29899999999999999"/>
    <n v="34"/>
    <x v="1"/>
  </r>
  <r>
    <n v="3"/>
    <n v="141"/>
    <n v="0"/>
    <n v="0"/>
    <n v="0"/>
    <n v="30"/>
    <n v="0.76100000000000001"/>
    <n v="27"/>
    <x v="0"/>
  </r>
  <r>
    <n v="4"/>
    <n v="95"/>
    <n v="70"/>
    <n v="32"/>
    <n v="0"/>
    <n v="32.1"/>
    <n v="0.61199999999999999"/>
    <n v="24"/>
    <x v="1"/>
  </r>
  <r>
    <n v="3"/>
    <n v="142"/>
    <n v="80"/>
    <n v="15"/>
    <n v="0"/>
    <n v="32.4"/>
    <n v="0.2"/>
    <n v="63"/>
    <x v="1"/>
  </r>
  <r>
    <n v="4"/>
    <n v="123"/>
    <n v="62"/>
    <n v="0"/>
    <n v="0"/>
    <n v="32"/>
    <n v="0.22600000000000001"/>
    <n v="35"/>
    <x v="0"/>
  </r>
  <r>
    <n v="5"/>
    <n v="96"/>
    <n v="74"/>
    <n v="18"/>
    <n v="67"/>
    <n v="33.6"/>
    <n v="0.997"/>
    <n v="43"/>
    <x v="1"/>
  </r>
  <r>
    <n v="0"/>
    <n v="138"/>
    <n v="0"/>
    <n v="0"/>
    <n v="0"/>
    <n v="36.299999999999997"/>
    <n v="0.93300000000000005"/>
    <n v="25"/>
    <x v="0"/>
  </r>
  <r>
    <n v="2"/>
    <n v="128"/>
    <n v="64"/>
    <n v="42"/>
    <n v="0"/>
    <n v="40"/>
    <n v="1.101"/>
    <n v="24"/>
    <x v="1"/>
  </r>
  <r>
    <n v="0"/>
    <n v="102"/>
    <n v="52"/>
    <n v="0"/>
    <n v="0"/>
    <n v="25.1"/>
    <n v="7.8E-2"/>
    <n v="21"/>
    <x v="1"/>
  </r>
  <r>
    <n v="2"/>
    <n v="146"/>
    <n v="0"/>
    <n v="0"/>
    <n v="0"/>
    <n v="27.5"/>
    <n v="0.24"/>
    <n v="28"/>
    <x v="0"/>
  </r>
  <r>
    <n v="10"/>
    <n v="101"/>
    <n v="86"/>
    <n v="37"/>
    <n v="0"/>
    <n v="45.6"/>
    <n v="1.1359999999999999"/>
    <n v="38"/>
    <x v="0"/>
  </r>
  <r>
    <n v="2"/>
    <n v="108"/>
    <n v="62"/>
    <n v="32"/>
    <n v="56"/>
    <n v="25.2"/>
    <n v="0.128"/>
    <n v="21"/>
    <x v="1"/>
  </r>
  <r>
    <n v="3"/>
    <n v="122"/>
    <n v="78"/>
    <n v="0"/>
    <n v="0"/>
    <n v="23"/>
    <n v="0.254"/>
    <n v="40"/>
    <x v="1"/>
  </r>
  <r>
    <n v="1"/>
    <n v="71"/>
    <n v="78"/>
    <n v="50"/>
    <n v="45"/>
    <n v="33.200000000000003"/>
    <n v="0.42199999999999999"/>
    <n v="21"/>
    <x v="1"/>
  </r>
  <r>
    <n v="13"/>
    <n v="106"/>
    <n v="70"/>
    <n v="0"/>
    <n v="0"/>
    <n v="34.200000000000003"/>
    <n v="0.251"/>
    <n v="52"/>
    <x v="1"/>
  </r>
  <r>
    <n v="2"/>
    <n v="100"/>
    <n v="70"/>
    <n v="52"/>
    <n v="57"/>
    <n v="40.5"/>
    <n v="0.67700000000000005"/>
    <n v="25"/>
    <x v="1"/>
  </r>
  <r>
    <n v="7"/>
    <n v="106"/>
    <n v="60"/>
    <n v="24"/>
    <n v="0"/>
    <n v="26.5"/>
    <n v="0.29599999999999999"/>
    <n v="29"/>
    <x v="0"/>
  </r>
  <r>
    <n v="0"/>
    <n v="104"/>
    <n v="64"/>
    <n v="23"/>
    <n v="116"/>
    <n v="27.8"/>
    <n v="0.45400000000000001"/>
    <n v="23"/>
    <x v="1"/>
  </r>
  <r>
    <n v="5"/>
    <n v="114"/>
    <n v="74"/>
    <n v="0"/>
    <n v="0"/>
    <n v="24.9"/>
    <n v="0.74399999999999999"/>
    <n v="57"/>
    <x v="1"/>
  </r>
  <r>
    <n v="2"/>
    <n v="108"/>
    <n v="62"/>
    <n v="10"/>
    <n v="278"/>
    <n v="25.3"/>
    <n v="0.88100000000000001"/>
    <n v="22"/>
    <x v="1"/>
  </r>
  <r>
    <n v="0"/>
    <n v="146"/>
    <n v="70"/>
    <n v="0"/>
    <n v="0"/>
    <n v="37.9"/>
    <n v="0.33400000000000002"/>
    <n v="28"/>
    <x v="0"/>
  </r>
  <r>
    <n v="10"/>
    <n v="129"/>
    <n v="76"/>
    <n v="28"/>
    <n v="122"/>
    <n v="35.9"/>
    <n v="0.28000000000000003"/>
    <n v="39"/>
    <x v="1"/>
  </r>
  <r>
    <n v="7"/>
    <n v="133"/>
    <n v="88"/>
    <n v="15"/>
    <n v="155"/>
    <n v="32.4"/>
    <n v="0.26200000000000001"/>
    <n v="37"/>
    <x v="1"/>
  </r>
  <r>
    <n v="7"/>
    <n v="161"/>
    <n v="86"/>
    <n v="0"/>
    <n v="0"/>
    <n v="30.4"/>
    <n v="0.16500000000000001"/>
    <n v="47"/>
    <x v="0"/>
  </r>
  <r>
    <n v="2"/>
    <n v="108"/>
    <n v="80"/>
    <n v="0"/>
    <n v="0"/>
    <n v="27"/>
    <n v="0.25900000000000001"/>
    <n v="52"/>
    <x v="0"/>
  </r>
  <r>
    <n v="7"/>
    <n v="136"/>
    <n v="74"/>
    <n v="26"/>
    <n v="135"/>
    <n v="26"/>
    <n v="0.64700000000000002"/>
    <n v="51"/>
    <x v="1"/>
  </r>
  <r>
    <n v="5"/>
    <n v="155"/>
    <n v="84"/>
    <n v="44"/>
    <n v="545"/>
    <n v="38.700000000000003"/>
    <n v="0.61899999999999999"/>
    <n v="34"/>
    <x v="1"/>
  </r>
  <r>
    <n v="1"/>
    <n v="119"/>
    <n v="86"/>
    <n v="39"/>
    <n v="220"/>
    <n v="45.6"/>
    <n v="0.80800000000000005"/>
    <n v="29"/>
    <x v="0"/>
  </r>
  <r>
    <n v="4"/>
    <n v="96"/>
    <n v="56"/>
    <n v="17"/>
    <n v="49"/>
    <n v="20.8"/>
    <n v="0.34"/>
    <n v="26"/>
    <x v="1"/>
  </r>
  <r>
    <n v="5"/>
    <n v="108"/>
    <n v="72"/>
    <n v="43"/>
    <n v="75"/>
    <n v="36.1"/>
    <n v="0.26300000000000001"/>
    <n v="33"/>
    <x v="1"/>
  </r>
  <r>
    <n v="0"/>
    <n v="78"/>
    <n v="88"/>
    <n v="29"/>
    <n v="40"/>
    <n v="36.9"/>
    <n v="0.434"/>
    <n v="21"/>
    <x v="1"/>
  </r>
  <r>
    <n v="0"/>
    <n v="107"/>
    <n v="62"/>
    <n v="30"/>
    <n v="74"/>
    <n v="36.6"/>
    <n v="0.75700000000000001"/>
    <n v="25"/>
    <x v="0"/>
  </r>
  <r>
    <n v="2"/>
    <n v="128"/>
    <n v="78"/>
    <n v="37"/>
    <n v="182"/>
    <n v="43.3"/>
    <n v="1.224"/>
    <n v="31"/>
    <x v="0"/>
  </r>
  <r>
    <n v="1"/>
    <n v="128"/>
    <n v="48"/>
    <n v="45"/>
    <n v="194"/>
    <n v="40.5"/>
    <n v="0.61299999999999999"/>
    <n v="24"/>
    <x v="0"/>
  </r>
  <r>
    <n v="0"/>
    <n v="161"/>
    <n v="50"/>
    <n v="0"/>
    <n v="0"/>
    <n v="21.9"/>
    <n v="0.254"/>
    <n v="65"/>
    <x v="1"/>
  </r>
  <r>
    <n v="6"/>
    <n v="151"/>
    <n v="62"/>
    <n v="31"/>
    <n v="120"/>
    <n v="35.5"/>
    <n v="0.69199999999999995"/>
    <n v="28"/>
    <x v="1"/>
  </r>
  <r>
    <n v="2"/>
    <n v="146"/>
    <n v="70"/>
    <n v="38"/>
    <n v="360"/>
    <n v="28"/>
    <n v="0.33700000000000002"/>
    <n v="29"/>
    <x v="0"/>
  </r>
  <r>
    <n v="0"/>
    <n v="126"/>
    <n v="84"/>
    <n v="29"/>
    <n v="215"/>
    <n v="30.7"/>
    <n v="0.52"/>
    <n v="24"/>
    <x v="1"/>
  </r>
  <r>
    <n v="14"/>
    <n v="100"/>
    <n v="78"/>
    <n v="25"/>
    <n v="184"/>
    <n v="36.6"/>
    <n v="0.41199999999999998"/>
    <n v="46"/>
    <x v="0"/>
  </r>
  <r>
    <n v="8"/>
    <n v="112"/>
    <n v="72"/>
    <n v="0"/>
    <n v="0"/>
    <n v="23.6"/>
    <n v="0.84"/>
    <n v="58"/>
    <x v="1"/>
  </r>
  <r>
    <n v="0"/>
    <n v="167"/>
    <n v="0"/>
    <n v="0"/>
    <n v="0"/>
    <n v="32.299999999999997"/>
    <n v="0.83899999999999997"/>
    <n v="30"/>
    <x v="0"/>
  </r>
  <r>
    <n v="2"/>
    <n v="144"/>
    <n v="58"/>
    <n v="33"/>
    <n v="135"/>
    <n v="31.6"/>
    <n v="0.42199999999999999"/>
    <n v="25"/>
    <x v="0"/>
  </r>
  <r>
    <n v="5"/>
    <n v="77"/>
    <n v="82"/>
    <n v="41"/>
    <n v="42"/>
    <n v="35.799999999999997"/>
    <n v="0.156"/>
    <n v="35"/>
    <x v="1"/>
  </r>
  <r>
    <n v="5"/>
    <n v="115"/>
    <n v="98"/>
    <n v="0"/>
    <n v="0"/>
    <n v="52.9"/>
    <n v="0.20899999999999999"/>
    <n v="28"/>
    <x v="0"/>
  </r>
  <r>
    <n v="3"/>
    <n v="150"/>
    <n v="76"/>
    <n v="0"/>
    <n v="0"/>
    <n v="21"/>
    <n v="0.20699999999999999"/>
    <n v="37"/>
    <x v="1"/>
  </r>
  <r>
    <n v="2"/>
    <n v="120"/>
    <n v="76"/>
    <n v="37"/>
    <n v="105"/>
    <n v="39.700000000000003"/>
    <n v="0.215"/>
    <n v="29"/>
    <x v="1"/>
  </r>
  <r>
    <n v="10"/>
    <n v="161"/>
    <n v="68"/>
    <n v="23"/>
    <n v="132"/>
    <n v="25.5"/>
    <n v="0.32600000000000001"/>
    <n v="47"/>
    <x v="0"/>
  </r>
  <r>
    <n v="0"/>
    <n v="137"/>
    <n v="68"/>
    <n v="14"/>
    <n v="148"/>
    <n v="24.8"/>
    <n v="0.14299999999999999"/>
    <n v="21"/>
    <x v="1"/>
  </r>
  <r>
    <n v="0"/>
    <n v="128"/>
    <n v="68"/>
    <n v="19"/>
    <n v="180"/>
    <n v="30.5"/>
    <n v="1.391"/>
    <n v="25"/>
    <x v="0"/>
  </r>
  <r>
    <n v="2"/>
    <n v="124"/>
    <n v="68"/>
    <n v="28"/>
    <n v="205"/>
    <n v="32.9"/>
    <n v="0.875"/>
    <n v="30"/>
    <x v="0"/>
  </r>
  <r>
    <n v="6"/>
    <n v="80"/>
    <n v="66"/>
    <n v="30"/>
    <n v="0"/>
    <n v="26.2"/>
    <n v="0.313"/>
    <n v="41"/>
    <x v="1"/>
  </r>
  <r>
    <n v="0"/>
    <n v="106"/>
    <n v="70"/>
    <n v="37"/>
    <n v="148"/>
    <n v="39.4"/>
    <n v="0.60499999999999998"/>
    <n v="22"/>
    <x v="1"/>
  </r>
  <r>
    <n v="2"/>
    <n v="155"/>
    <n v="74"/>
    <n v="17"/>
    <n v="96"/>
    <n v="26.6"/>
    <n v="0.433"/>
    <n v="27"/>
    <x v="0"/>
  </r>
  <r>
    <n v="3"/>
    <n v="113"/>
    <n v="50"/>
    <n v="10"/>
    <n v="85"/>
    <n v="29.5"/>
    <n v="0.626"/>
    <n v="25"/>
    <x v="1"/>
  </r>
  <r>
    <n v="7"/>
    <n v="109"/>
    <n v="80"/>
    <n v="31"/>
    <n v="0"/>
    <n v="35.9"/>
    <n v="1.127"/>
    <n v="43"/>
    <x v="0"/>
  </r>
  <r>
    <n v="2"/>
    <n v="112"/>
    <n v="68"/>
    <n v="22"/>
    <n v="94"/>
    <n v="34.1"/>
    <n v="0.315"/>
    <n v="26"/>
    <x v="1"/>
  </r>
  <r>
    <n v="3"/>
    <n v="99"/>
    <n v="80"/>
    <n v="11"/>
    <n v="64"/>
    <n v="19.3"/>
    <n v="0.28399999999999997"/>
    <n v="30"/>
    <x v="1"/>
  </r>
  <r>
    <n v="3"/>
    <n v="182"/>
    <n v="74"/>
    <n v="0"/>
    <n v="0"/>
    <n v="30.5"/>
    <n v="0.34499999999999997"/>
    <n v="29"/>
    <x v="0"/>
  </r>
  <r>
    <n v="3"/>
    <n v="115"/>
    <n v="66"/>
    <n v="39"/>
    <n v="140"/>
    <n v="38.1"/>
    <n v="0.15"/>
    <n v="28"/>
    <x v="1"/>
  </r>
  <r>
    <n v="6"/>
    <n v="194"/>
    <n v="78"/>
    <n v="0"/>
    <n v="0"/>
    <n v="23.5"/>
    <n v="0.129"/>
    <n v="59"/>
    <x v="0"/>
  </r>
  <r>
    <n v="4"/>
    <n v="129"/>
    <n v="60"/>
    <n v="12"/>
    <n v="231"/>
    <n v="27.5"/>
    <n v="0.52700000000000002"/>
    <n v="31"/>
    <x v="1"/>
  </r>
  <r>
    <n v="3"/>
    <n v="112"/>
    <n v="74"/>
    <n v="30"/>
    <n v="0"/>
    <n v="31.6"/>
    <n v="0.19700000000000001"/>
    <n v="25"/>
    <x v="0"/>
  </r>
  <r>
    <n v="0"/>
    <n v="124"/>
    <n v="70"/>
    <n v="20"/>
    <n v="0"/>
    <n v="27.4"/>
    <n v="0.254"/>
    <n v="36"/>
    <x v="0"/>
  </r>
  <r>
    <n v="13"/>
    <n v="152"/>
    <n v="90"/>
    <n v="33"/>
    <n v="29"/>
    <n v="26.8"/>
    <n v="0.73099999999999998"/>
    <n v="43"/>
    <x v="0"/>
  </r>
  <r>
    <n v="2"/>
    <n v="112"/>
    <n v="75"/>
    <n v="32"/>
    <n v="0"/>
    <n v="35.700000000000003"/>
    <n v="0.14799999999999999"/>
    <n v="21"/>
    <x v="1"/>
  </r>
  <r>
    <n v="1"/>
    <n v="157"/>
    <n v="72"/>
    <n v="21"/>
    <n v="168"/>
    <n v="25.6"/>
    <n v="0.123"/>
    <n v="24"/>
    <x v="1"/>
  </r>
  <r>
    <n v="1"/>
    <n v="122"/>
    <n v="64"/>
    <n v="32"/>
    <n v="156"/>
    <n v="35.1"/>
    <n v="0.69199999999999995"/>
    <n v="30"/>
    <x v="0"/>
  </r>
  <r>
    <n v="10"/>
    <n v="179"/>
    <n v="70"/>
    <n v="0"/>
    <n v="0"/>
    <n v="35.1"/>
    <n v="0.2"/>
    <n v="37"/>
    <x v="1"/>
  </r>
  <r>
    <n v="2"/>
    <n v="102"/>
    <n v="86"/>
    <n v="36"/>
    <n v="120"/>
    <n v="45.5"/>
    <n v="0.127"/>
    <n v="23"/>
    <x v="0"/>
  </r>
  <r>
    <n v="6"/>
    <n v="105"/>
    <n v="70"/>
    <n v="32"/>
    <n v="68"/>
    <n v="30.8"/>
    <n v="0.122"/>
    <n v="37"/>
    <x v="1"/>
  </r>
  <r>
    <n v="8"/>
    <n v="118"/>
    <n v="72"/>
    <n v="19"/>
    <n v="0"/>
    <n v="23.1"/>
    <n v="1.476"/>
    <n v="46"/>
    <x v="1"/>
  </r>
  <r>
    <n v="2"/>
    <n v="87"/>
    <n v="58"/>
    <n v="16"/>
    <n v="52"/>
    <n v="32.700000000000003"/>
    <n v="0.16600000000000001"/>
    <n v="25"/>
    <x v="1"/>
  </r>
  <r>
    <n v="1"/>
    <n v="180"/>
    <n v="0"/>
    <n v="0"/>
    <n v="0"/>
    <n v="43.3"/>
    <n v="0.28199999999999997"/>
    <n v="41"/>
    <x v="0"/>
  </r>
  <r>
    <n v="12"/>
    <n v="106"/>
    <n v="80"/>
    <n v="0"/>
    <n v="0"/>
    <n v="23.6"/>
    <n v="0.13700000000000001"/>
    <n v="44"/>
    <x v="1"/>
  </r>
  <r>
    <n v="1"/>
    <n v="95"/>
    <n v="60"/>
    <n v="18"/>
    <n v="58"/>
    <n v="23.9"/>
    <n v="0.26"/>
    <n v="22"/>
    <x v="1"/>
  </r>
  <r>
    <n v="0"/>
    <n v="165"/>
    <n v="76"/>
    <n v="43"/>
    <n v="255"/>
    <n v="47.9"/>
    <n v="0.25900000000000001"/>
    <n v="26"/>
    <x v="1"/>
  </r>
  <r>
    <n v="0"/>
    <n v="117"/>
    <n v="0"/>
    <n v="0"/>
    <n v="0"/>
    <n v="33.799999999999997"/>
    <n v="0.93200000000000005"/>
    <n v="44"/>
    <x v="1"/>
  </r>
  <r>
    <n v="5"/>
    <n v="115"/>
    <n v="76"/>
    <n v="0"/>
    <n v="0"/>
    <n v="31.2"/>
    <n v="0.34300000000000003"/>
    <n v="44"/>
    <x v="0"/>
  </r>
  <r>
    <n v="9"/>
    <n v="152"/>
    <n v="78"/>
    <n v="34"/>
    <n v="171"/>
    <n v="34.200000000000003"/>
    <n v="0.89300000000000002"/>
    <n v="33"/>
    <x v="0"/>
  </r>
  <r>
    <n v="7"/>
    <n v="178"/>
    <n v="84"/>
    <n v="0"/>
    <n v="0"/>
    <n v="39.9"/>
    <n v="0.33100000000000002"/>
    <n v="41"/>
    <x v="0"/>
  </r>
  <r>
    <n v="1"/>
    <n v="130"/>
    <n v="70"/>
    <n v="13"/>
    <n v="105"/>
    <n v="25.9"/>
    <n v="0.47199999999999998"/>
    <n v="22"/>
    <x v="1"/>
  </r>
  <r>
    <n v="1"/>
    <n v="95"/>
    <n v="74"/>
    <n v="21"/>
    <n v="73"/>
    <n v="25.9"/>
    <n v="0.67300000000000004"/>
    <n v="36"/>
    <x v="1"/>
  </r>
  <r>
    <n v="1"/>
    <n v="0"/>
    <n v="68"/>
    <n v="35"/>
    <n v="0"/>
    <n v="32"/>
    <n v="0.38900000000000001"/>
    <n v="22"/>
    <x v="1"/>
  </r>
  <r>
    <n v="5"/>
    <n v="122"/>
    <n v="86"/>
    <n v="0"/>
    <n v="0"/>
    <n v="34.700000000000003"/>
    <n v="0.28999999999999998"/>
    <n v="33"/>
    <x v="1"/>
  </r>
  <r>
    <n v="8"/>
    <n v="95"/>
    <n v="72"/>
    <n v="0"/>
    <n v="0"/>
    <n v="36.799999999999997"/>
    <n v="0.48499999999999999"/>
    <n v="57"/>
    <x v="1"/>
  </r>
  <r>
    <n v="8"/>
    <n v="126"/>
    <n v="88"/>
    <n v="36"/>
    <n v="108"/>
    <n v="38.5"/>
    <n v="0.34899999999999998"/>
    <n v="49"/>
    <x v="1"/>
  </r>
  <r>
    <n v="1"/>
    <n v="139"/>
    <n v="46"/>
    <n v="19"/>
    <n v="83"/>
    <n v="28.7"/>
    <n v="0.65400000000000003"/>
    <n v="22"/>
    <x v="1"/>
  </r>
  <r>
    <n v="3"/>
    <n v="116"/>
    <n v="0"/>
    <n v="0"/>
    <n v="0"/>
    <n v="23.5"/>
    <n v="0.187"/>
    <n v="23"/>
    <x v="1"/>
  </r>
  <r>
    <n v="3"/>
    <n v="99"/>
    <n v="62"/>
    <n v="19"/>
    <n v="74"/>
    <n v="21.8"/>
    <n v="0.27900000000000003"/>
    <n v="26"/>
    <x v="1"/>
  </r>
  <r>
    <n v="5"/>
    <n v="0"/>
    <n v="80"/>
    <n v="32"/>
    <n v="0"/>
    <n v="41"/>
    <n v="0.34599999999999997"/>
    <n v="37"/>
    <x v="0"/>
  </r>
  <r>
    <n v="4"/>
    <n v="92"/>
    <n v="80"/>
    <n v="0"/>
    <n v="0"/>
    <n v="42.2"/>
    <n v="0.23699999999999999"/>
    <n v="29"/>
    <x v="1"/>
  </r>
  <r>
    <n v="4"/>
    <n v="137"/>
    <n v="84"/>
    <n v="0"/>
    <n v="0"/>
    <n v="31.2"/>
    <n v="0.252"/>
    <n v="30"/>
    <x v="1"/>
  </r>
  <r>
    <n v="3"/>
    <n v="61"/>
    <n v="82"/>
    <n v="28"/>
    <n v="0"/>
    <n v="34.4"/>
    <n v="0.24299999999999999"/>
    <n v="46"/>
    <x v="1"/>
  </r>
  <r>
    <n v="1"/>
    <n v="90"/>
    <n v="62"/>
    <n v="12"/>
    <n v="43"/>
    <n v="27.2"/>
    <n v="0.57999999999999996"/>
    <n v="24"/>
    <x v="1"/>
  </r>
  <r>
    <n v="3"/>
    <n v="90"/>
    <n v="78"/>
    <n v="0"/>
    <n v="0"/>
    <n v="42.7"/>
    <n v="0.55900000000000005"/>
    <n v="21"/>
    <x v="1"/>
  </r>
  <r>
    <n v="9"/>
    <n v="165"/>
    <n v="88"/>
    <n v="0"/>
    <n v="0"/>
    <n v="30.4"/>
    <n v="0.30199999999999999"/>
    <n v="49"/>
    <x v="0"/>
  </r>
  <r>
    <n v="1"/>
    <n v="125"/>
    <n v="50"/>
    <n v="40"/>
    <n v="167"/>
    <n v="33.299999999999997"/>
    <n v="0.96199999999999997"/>
    <n v="28"/>
    <x v="0"/>
  </r>
  <r>
    <n v="13"/>
    <n v="129"/>
    <n v="0"/>
    <n v="30"/>
    <n v="0"/>
    <n v="39.9"/>
    <n v="0.56899999999999995"/>
    <n v="44"/>
    <x v="0"/>
  </r>
  <r>
    <n v="12"/>
    <n v="88"/>
    <n v="74"/>
    <n v="40"/>
    <n v="54"/>
    <n v="35.299999999999997"/>
    <n v="0.378"/>
    <n v="48"/>
    <x v="1"/>
  </r>
  <r>
    <n v="1"/>
    <n v="196"/>
    <n v="76"/>
    <n v="36"/>
    <n v="249"/>
    <n v="36.5"/>
    <n v="0.875"/>
    <n v="29"/>
    <x v="0"/>
  </r>
  <r>
    <n v="5"/>
    <n v="189"/>
    <n v="64"/>
    <n v="33"/>
    <n v="325"/>
    <n v="31.2"/>
    <n v="0.58299999999999996"/>
    <n v="29"/>
    <x v="0"/>
  </r>
  <r>
    <n v="5"/>
    <n v="158"/>
    <n v="70"/>
    <n v="0"/>
    <n v="0"/>
    <n v="29.8"/>
    <n v="0.20699999999999999"/>
    <n v="63"/>
    <x v="1"/>
  </r>
  <r>
    <n v="5"/>
    <n v="103"/>
    <n v="108"/>
    <n v="37"/>
    <n v="0"/>
    <n v="39.200000000000003"/>
    <n v="0.30499999999999999"/>
    <n v="65"/>
    <x v="1"/>
  </r>
  <r>
    <n v="4"/>
    <n v="146"/>
    <n v="78"/>
    <n v="0"/>
    <n v="0"/>
    <n v="38.5"/>
    <n v="0.52"/>
    <n v="67"/>
    <x v="0"/>
  </r>
  <r>
    <n v="4"/>
    <n v="147"/>
    <n v="74"/>
    <n v="25"/>
    <n v="293"/>
    <n v="34.9"/>
    <n v="0.38500000000000001"/>
    <n v="30"/>
    <x v="1"/>
  </r>
  <r>
    <n v="5"/>
    <n v="99"/>
    <n v="54"/>
    <n v="28"/>
    <n v="83"/>
    <n v="34"/>
    <n v="0.499"/>
    <n v="30"/>
    <x v="1"/>
  </r>
  <r>
    <n v="6"/>
    <n v="124"/>
    <n v="72"/>
    <n v="0"/>
    <n v="0"/>
    <n v="27.6"/>
    <n v="0.36799999999999999"/>
    <n v="29"/>
    <x v="0"/>
  </r>
  <r>
    <n v="0"/>
    <n v="101"/>
    <n v="64"/>
    <n v="17"/>
    <n v="0"/>
    <n v="21"/>
    <n v="0.252"/>
    <n v="21"/>
    <x v="1"/>
  </r>
  <r>
    <n v="3"/>
    <n v="81"/>
    <n v="86"/>
    <n v="16"/>
    <n v="66"/>
    <n v="27.5"/>
    <n v="0.30599999999999999"/>
    <n v="22"/>
    <x v="1"/>
  </r>
  <r>
    <n v="1"/>
    <n v="133"/>
    <n v="102"/>
    <n v="28"/>
    <n v="140"/>
    <n v="32.799999999999997"/>
    <n v="0.23400000000000001"/>
    <n v="45"/>
    <x v="0"/>
  </r>
  <r>
    <n v="3"/>
    <n v="173"/>
    <n v="82"/>
    <n v="48"/>
    <n v="465"/>
    <n v="38.4"/>
    <n v="2.137"/>
    <n v="25"/>
    <x v="0"/>
  </r>
  <r>
    <n v="0"/>
    <n v="118"/>
    <n v="64"/>
    <n v="23"/>
    <n v="89"/>
    <n v="0"/>
    <n v="1.7310000000000001"/>
    <n v="21"/>
    <x v="1"/>
  </r>
  <r>
    <n v="0"/>
    <n v="84"/>
    <n v="64"/>
    <n v="22"/>
    <n v="66"/>
    <n v="35.799999999999997"/>
    <n v="0.54500000000000004"/>
    <n v="21"/>
    <x v="1"/>
  </r>
  <r>
    <n v="2"/>
    <n v="105"/>
    <n v="58"/>
    <n v="40"/>
    <n v="94"/>
    <n v="34.9"/>
    <n v="0.22500000000000001"/>
    <n v="25"/>
    <x v="1"/>
  </r>
  <r>
    <n v="2"/>
    <n v="122"/>
    <n v="52"/>
    <n v="43"/>
    <n v="158"/>
    <n v="36.200000000000003"/>
    <n v="0.81599999999999995"/>
    <n v="28"/>
    <x v="1"/>
  </r>
  <r>
    <n v="12"/>
    <n v="140"/>
    <n v="82"/>
    <n v="43"/>
    <n v="325"/>
    <n v="39.200000000000003"/>
    <n v="0.52800000000000002"/>
    <n v="58"/>
    <x v="0"/>
  </r>
  <r>
    <n v="0"/>
    <n v="98"/>
    <n v="82"/>
    <n v="15"/>
    <n v="84"/>
    <n v="25.2"/>
    <n v="0.29899999999999999"/>
    <n v="22"/>
    <x v="1"/>
  </r>
  <r>
    <n v="1"/>
    <n v="87"/>
    <n v="60"/>
    <n v="37"/>
    <n v="75"/>
    <n v="37.200000000000003"/>
    <n v="0.50900000000000001"/>
    <n v="22"/>
    <x v="1"/>
  </r>
  <r>
    <n v="4"/>
    <n v="156"/>
    <n v="75"/>
    <n v="0"/>
    <n v="0"/>
    <n v="48.3"/>
    <n v="0.23799999999999999"/>
    <n v="32"/>
    <x v="0"/>
  </r>
  <r>
    <n v="0"/>
    <n v="93"/>
    <n v="100"/>
    <n v="39"/>
    <n v="72"/>
    <n v="43.4"/>
    <n v="1.0209999999999999"/>
    <n v="35"/>
    <x v="1"/>
  </r>
  <r>
    <n v="1"/>
    <n v="107"/>
    <n v="72"/>
    <n v="30"/>
    <n v="82"/>
    <n v="30.8"/>
    <n v="0.82099999999999995"/>
    <n v="24"/>
    <x v="1"/>
  </r>
  <r>
    <n v="0"/>
    <n v="105"/>
    <n v="68"/>
    <n v="22"/>
    <n v="0"/>
    <n v="20"/>
    <n v="0.23599999999999999"/>
    <n v="22"/>
    <x v="1"/>
  </r>
  <r>
    <n v="1"/>
    <n v="109"/>
    <n v="60"/>
    <n v="8"/>
    <n v="182"/>
    <n v="25.4"/>
    <n v="0.94699999999999995"/>
    <n v="21"/>
    <x v="1"/>
  </r>
  <r>
    <n v="1"/>
    <n v="90"/>
    <n v="62"/>
    <n v="18"/>
    <n v="59"/>
    <n v="25.1"/>
    <n v="1.268"/>
    <n v="25"/>
    <x v="1"/>
  </r>
  <r>
    <n v="1"/>
    <n v="125"/>
    <n v="70"/>
    <n v="24"/>
    <n v="110"/>
    <n v="24.3"/>
    <n v="0.221"/>
    <n v="25"/>
    <x v="1"/>
  </r>
  <r>
    <n v="1"/>
    <n v="119"/>
    <n v="54"/>
    <n v="13"/>
    <n v="50"/>
    <n v="22.3"/>
    <n v="0.20499999999999999"/>
    <n v="24"/>
    <x v="1"/>
  </r>
  <r>
    <n v="5"/>
    <n v="116"/>
    <n v="74"/>
    <n v="29"/>
    <n v="0"/>
    <n v="32.299999999999997"/>
    <n v="0.66"/>
    <n v="35"/>
    <x v="0"/>
  </r>
  <r>
    <n v="8"/>
    <n v="105"/>
    <n v="100"/>
    <n v="36"/>
    <n v="0"/>
    <n v="43.3"/>
    <n v="0.23899999999999999"/>
    <n v="45"/>
    <x v="0"/>
  </r>
  <r>
    <n v="5"/>
    <n v="144"/>
    <n v="82"/>
    <n v="26"/>
    <n v="285"/>
    <n v="32"/>
    <n v="0.45200000000000001"/>
    <n v="58"/>
    <x v="0"/>
  </r>
  <r>
    <n v="3"/>
    <n v="100"/>
    <n v="68"/>
    <n v="23"/>
    <n v="81"/>
    <n v="31.6"/>
    <n v="0.94899999999999995"/>
    <n v="28"/>
    <x v="1"/>
  </r>
  <r>
    <n v="1"/>
    <n v="100"/>
    <n v="66"/>
    <n v="29"/>
    <n v="196"/>
    <n v="32"/>
    <n v="0.44400000000000001"/>
    <n v="42"/>
    <x v="1"/>
  </r>
  <r>
    <n v="5"/>
    <n v="166"/>
    <n v="76"/>
    <n v="0"/>
    <n v="0"/>
    <n v="45.7"/>
    <n v="0.34"/>
    <n v="27"/>
    <x v="0"/>
  </r>
  <r>
    <n v="1"/>
    <n v="131"/>
    <n v="64"/>
    <n v="14"/>
    <n v="415"/>
    <n v="23.7"/>
    <n v="0.38900000000000001"/>
    <n v="21"/>
    <x v="1"/>
  </r>
  <r>
    <n v="4"/>
    <n v="116"/>
    <n v="72"/>
    <n v="12"/>
    <n v="87"/>
    <n v="22.1"/>
    <n v="0.46300000000000002"/>
    <n v="37"/>
    <x v="1"/>
  </r>
  <r>
    <n v="4"/>
    <n v="158"/>
    <n v="78"/>
    <n v="0"/>
    <n v="0"/>
    <n v="32.9"/>
    <n v="0.80300000000000005"/>
    <n v="31"/>
    <x v="0"/>
  </r>
  <r>
    <n v="2"/>
    <n v="127"/>
    <n v="58"/>
    <n v="24"/>
    <n v="275"/>
    <n v="27.7"/>
    <n v="1.6"/>
    <n v="25"/>
    <x v="1"/>
  </r>
  <r>
    <n v="3"/>
    <n v="96"/>
    <n v="56"/>
    <n v="34"/>
    <n v="115"/>
    <n v="24.7"/>
    <n v="0.94399999999999995"/>
    <n v="39"/>
    <x v="1"/>
  </r>
  <r>
    <n v="0"/>
    <n v="131"/>
    <n v="66"/>
    <n v="40"/>
    <n v="0"/>
    <n v="34.299999999999997"/>
    <n v="0.19600000000000001"/>
    <n v="22"/>
    <x v="0"/>
  </r>
  <r>
    <n v="3"/>
    <n v="82"/>
    <n v="70"/>
    <n v="0"/>
    <n v="0"/>
    <n v="21.1"/>
    <n v="0.38900000000000001"/>
    <n v="25"/>
    <x v="1"/>
  </r>
  <r>
    <n v="3"/>
    <n v="193"/>
    <n v="70"/>
    <n v="31"/>
    <n v="0"/>
    <n v="34.9"/>
    <n v="0.24099999999999999"/>
    <n v="25"/>
    <x v="0"/>
  </r>
  <r>
    <n v="4"/>
    <n v="95"/>
    <n v="64"/>
    <n v="0"/>
    <n v="0"/>
    <n v="32"/>
    <n v="0.161"/>
    <n v="31"/>
    <x v="0"/>
  </r>
  <r>
    <n v="6"/>
    <n v="137"/>
    <n v="61"/>
    <n v="0"/>
    <n v="0"/>
    <n v="24.2"/>
    <n v="0.151"/>
    <n v="55"/>
    <x v="1"/>
  </r>
  <r>
    <n v="5"/>
    <n v="136"/>
    <n v="84"/>
    <n v="41"/>
    <n v="88"/>
    <n v="35"/>
    <n v="0.28599999999999998"/>
    <n v="35"/>
    <x v="0"/>
  </r>
  <r>
    <n v="9"/>
    <n v="72"/>
    <n v="78"/>
    <n v="25"/>
    <n v="0"/>
    <n v="31.6"/>
    <n v="0.28000000000000003"/>
    <n v="38"/>
    <x v="1"/>
  </r>
  <r>
    <n v="5"/>
    <n v="168"/>
    <n v="64"/>
    <n v="0"/>
    <n v="0"/>
    <n v="32.9"/>
    <n v="0.13500000000000001"/>
    <n v="41"/>
    <x v="0"/>
  </r>
  <r>
    <n v="2"/>
    <n v="123"/>
    <n v="48"/>
    <n v="32"/>
    <n v="165"/>
    <n v="42.1"/>
    <n v="0.52"/>
    <n v="26"/>
    <x v="1"/>
  </r>
  <r>
    <n v="4"/>
    <n v="115"/>
    <n v="72"/>
    <n v="0"/>
    <n v="0"/>
    <n v="28.9"/>
    <n v="0.376"/>
    <n v="46"/>
    <x v="0"/>
  </r>
  <r>
    <n v="0"/>
    <n v="101"/>
    <n v="62"/>
    <n v="0"/>
    <n v="0"/>
    <n v="21.9"/>
    <n v="0.33600000000000002"/>
    <n v="25"/>
    <x v="1"/>
  </r>
  <r>
    <n v="8"/>
    <n v="197"/>
    <n v="74"/>
    <n v="0"/>
    <n v="0"/>
    <n v="25.9"/>
    <n v="1.1910000000000001"/>
    <n v="39"/>
    <x v="0"/>
  </r>
  <r>
    <n v="1"/>
    <n v="172"/>
    <n v="68"/>
    <n v="49"/>
    <n v="579"/>
    <n v="42.4"/>
    <n v="0.70199999999999996"/>
    <n v="28"/>
    <x v="0"/>
  </r>
  <r>
    <n v="6"/>
    <n v="102"/>
    <n v="90"/>
    <n v="39"/>
    <n v="0"/>
    <n v="35.700000000000003"/>
    <n v="0.67400000000000004"/>
    <n v="28"/>
    <x v="1"/>
  </r>
  <r>
    <n v="1"/>
    <n v="112"/>
    <n v="72"/>
    <n v="30"/>
    <n v="176"/>
    <n v="34.4"/>
    <n v="0.52800000000000002"/>
    <n v="25"/>
    <x v="1"/>
  </r>
  <r>
    <n v="1"/>
    <n v="143"/>
    <n v="84"/>
    <n v="23"/>
    <n v="310"/>
    <n v="42.4"/>
    <n v="1.0760000000000001"/>
    <n v="22"/>
    <x v="1"/>
  </r>
  <r>
    <n v="1"/>
    <n v="143"/>
    <n v="74"/>
    <n v="22"/>
    <n v="61"/>
    <n v="26.2"/>
    <n v="0.25600000000000001"/>
    <n v="21"/>
    <x v="1"/>
  </r>
  <r>
    <n v="0"/>
    <n v="138"/>
    <n v="60"/>
    <n v="35"/>
    <n v="167"/>
    <n v="34.6"/>
    <n v="0.53400000000000003"/>
    <n v="21"/>
    <x v="0"/>
  </r>
  <r>
    <n v="3"/>
    <n v="173"/>
    <n v="84"/>
    <n v="33"/>
    <n v="474"/>
    <n v="35.700000000000003"/>
    <n v="0.25800000000000001"/>
    <n v="22"/>
    <x v="0"/>
  </r>
  <r>
    <n v="1"/>
    <n v="97"/>
    <n v="68"/>
    <n v="21"/>
    <n v="0"/>
    <n v="27.2"/>
    <n v="1.095"/>
    <n v="22"/>
    <x v="1"/>
  </r>
  <r>
    <n v="4"/>
    <n v="144"/>
    <n v="82"/>
    <n v="32"/>
    <n v="0"/>
    <n v="38.5"/>
    <n v="0.55400000000000005"/>
    <n v="37"/>
    <x v="0"/>
  </r>
  <r>
    <n v="1"/>
    <n v="83"/>
    <n v="68"/>
    <n v="0"/>
    <n v="0"/>
    <n v="18.2"/>
    <n v="0.624"/>
    <n v="27"/>
    <x v="1"/>
  </r>
  <r>
    <n v="3"/>
    <n v="129"/>
    <n v="64"/>
    <n v="29"/>
    <n v="115"/>
    <n v="26.4"/>
    <n v="0.219"/>
    <n v="28"/>
    <x v="0"/>
  </r>
  <r>
    <n v="1"/>
    <n v="119"/>
    <n v="88"/>
    <n v="41"/>
    <n v="170"/>
    <n v="45.3"/>
    <n v="0.50700000000000001"/>
    <n v="26"/>
    <x v="1"/>
  </r>
  <r>
    <n v="2"/>
    <n v="94"/>
    <n v="68"/>
    <n v="18"/>
    <n v="76"/>
    <n v="26"/>
    <n v="0.56100000000000005"/>
    <n v="21"/>
    <x v="1"/>
  </r>
  <r>
    <n v="0"/>
    <n v="102"/>
    <n v="64"/>
    <n v="46"/>
    <n v="78"/>
    <n v="40.6"/>
    <n v="0.496"/>
    <n v="21"/>
    <x v="1"/>
  </r>
  <r>
    <n v="2"/>
    <n v="115"/>
    <n v="64"/>
    <n v="22"/>
    <n v="0"/>
    <n v="30.8"/>
    <n v="0.42099999999999999"/>
    <n v="21"/>
    <x v="1"/>
  </r>
  <r>
    <n v="8"/>
    <n v="151"/>
    <n v="78"/>
    <n v="32"/>
    <n v="210"/>
    <n v="42.9"/>
    <n v="0.51600000000000001"/>
    <n v="36"/>
    <x v="0"/>
  </r>
  <r>
    <n v="4"/>
    <n v="184"/>
    <n v="78"/>
    <n v="39"/>
    <n v="277"/>
    <n v="37"/>
    <n v="0.26400000000000001"/>
    <n v="31"/>
    <x v="0"/>
  </r>
  <r>
    <n v="0"/>
    <n v="94"/>
    <n v="0"/>
    <n v="0"/>
    <n v="0"/>
    <n v="0"/>
    <n v="0.25600000000000001"/>
    <n v="25"/>
    <x v="1"/>
  </r>
  <r>
    <n v="1"/>
    <n v="181"/>
    <n v="64"/>
    <n v="30"/>
    <n v="180"/>
    <n v="34.1"/>
    <n v="0.32800000000000001"/>
    <n v="38"/>
    <x v="0"/>
  </r>
  <r>
    <n v="0"/>
    <n v="135"/>
    <n v="94"/>
    <n v="46"/>
    <n v="145"/>
    <n v="40.6"/>
    <n v="0.28399999999999997"/>
    <n v="26"/>
    <x v="1"/>
  </r>
  <r>
    <n v="1"/>
    <n v="95"/>
    <n v="82"/>
    <n v="25"/>
    <n v="180"/>
    <n v="35"/>
    <n v="0.23300000000000001"/>
    <n v="43"/>
    <x v="0"/>
  </r>
  <r>
    <n v="2"/>
    <n v="99"/>
    <n v="0"/>
    <n v="0"/>
    <n v="0"/>
    <n v="22.2"/>
    <n v="0.108"/>
    <n v="23"/>
    <x v="1"/>
  </r>
  <r>
    <n v="3"/>
    <n v="89"/>
    <n v="74"/>
    <n v="16"/>
    <n v="85"/>
    <n v="30.4"/>
    <n v="0.55100000000000005"/>
    <n v="38"/>
    <x v="1"/>
  </r>
  <r>
    <n v="1"/>
    <n v="80"/>
    <n v="74"/>
    <n v="11"/>
    <n v="60"/>
    <n v="30"/>
    <n v="0.52700000000000002"/>
    <n v="22"/>
    <x v="1"/>
  </r>
  <r>
    <n v="2"/>
    <n v="139"/>
    <n v="75"/>
    <n v="0"/>
    <n v="0"/>
    <n v="25.6"/>
    <n v="0.16700000000000001"/>
    <n v="29"/>
    <x v="1"/>
  </r>
  <r>
    <n v="1"/>
    <n v="90"/>
    <n v="68"/>
    <n v="8"/>
    <n v="0"/>
    <n v="24.5"/>
    <n v="1.1379999999999999"/>
    <n v="36"/>
    <x v="1"/>
  </r>
  <r>
    <n v="0"/>
    <n v="141"/>
    <n v="0"/>
    <n v="0"/>
    <n v="0"/>
    <n v="42.4"/>
    <n v="0.20499999999999999"/>
    <n v="29"/>
    <x v="0"/>
  </r>
  <r>
    <n v="12"/>
    <n v="140"/>
    <n v="85"/>
    <n v="33"/>
    <n v="0"/>
    <n v="37.4"/>
    <n v="0.24399999999999999"/>
    <n v="41"/>
    <x v="1"/>
  </r>
  <r>
    <n v="5"/>
    <n v="147"/>
    <n v="75"/>
    <n v="0"/>
    <n v="0"/>
    <n v="29.9"/>
    <n v="0.434"/>
    <n v="28"/>
    <x v="1"/>
  </r>
  <r>
    <n v="1"/>
    <n v="97"/>
    <n v="70"/>
    <n v="15"/>
    <n v="0"/>
    <n v="18.2"/>
    <n v="0.14699999999999999"/>
    <n v="21"/>
    <x v="1"/>
  </r>
  <r>
    <n v="6"/>
    <n v="107"/>
    <n v="88"/>
    <n v="0"/>
    <n v="0"/>
    <n v="36.799999999999997"/>
    <n v="0.72699999999999998"/>
    <n v="31"/>
    <x v="1"/>
  </r>
  <r>
    <n v="0"/>
    <n v="189"/>
    <n v="104"/>
    <n v="25"/>
    <n v="0"/>
    <n v="34.299999999999997"/>
    <n v="0.435"/>
    <n v="41"/>
    <x v="0"/>
  </r>
  <r>
    <n v="2"/>
    <n v="83"/>
    <n v="66"/>
    <n v="23"/>
    <n v="50"/>
    <n v="32.200000000000003"/>
    <n v="0.497"/>
    <n v="22"/>
    <x v="1"/>
  </r>
  <r>
    <n v="4"/>
    <n v="117"/>
    <n v="64"/>
    <n v="27"/>
    <n v="120"/>
    <n v="33.200000000000003"/>
    <n v="0.23"/>
    <n v="24"/>
    <x v="1"/>
  </r>
  <r>
    <n v="8"/>
    <n v="108"/>
    <n v="70"/>
    <n v="0"/>
    <n v="0"/>
    <n v="30.5"/>
    <n v="0.95499999999999996"/>
    <n v="33"/>
    <x v="0"/>
  </r>
  <r>
    <n v="4"/>
    <n v="117"/>
    <n v="62"/>
    <n v="12"/>
    <n v="0"/>
    <n v="29.7"/>
    <n v="0.38"/>
    <n v="30"/>
    <x v="0"/>
  </r>
  <r>
    <n v="0"/>
    <n v="180"/>
    <n v="78"/>
    <n v="63"/>
    <n v="14"/>
    <n v="59.4"/>
    <n v="2.42"/>
    <n v="25"/>
    <x v="0"/>
  </r>
  <r>
    <n v="1"/>
    <n v="100"/>
    <n v="72"/>
    <n v="12"/>
    <n v="70"/>
    <n v="25.3"/>
    <n v="0.65800000000000003"/>
    <n v="28"/>
    <x v="1"/>
  </r>
  <r>
    <n v="0"/>
    <n v="95"/>
    <n v="80"/>
    <n v="45"/>
    <n v="92"/>
    <n v="36.5"/>
    <n v="0.33"/>
    <n v="26"/>
    <x v="1"/>
  </r>
  <r>
    <n v="0"/>
    <n v="104"/>
    <n v="64"/>
    <n v="37"/>
    <n v="64"/>
    <n v="33.6"/>
    <n v="0.51"/>
    <n v="22"/>
    <x v="0"/>
  </r>
  <r>
    <n v="0"/>
    <n v="120"/>
    <n v="74"/>
    <n v="18"/>
    <n v="63"/>
    <n v="30.5"/>
    <n v="0.28499999999999998"/>
    <n v="26"/>
    <x v="1"/>
  </r>
  <r>
    <n v="1"/>
    <n v="82"/>
    <n v="64"/>
    <n v="13"/>
    <n v="95"/>
    <n v="21.2"/>
    <n v="0.41499999999999998"/>
    <n v="23"/>
    <x v="1"/>
  </r>
  <r>
    <n v="2"/>
    <n v="134"/>
    <n v="70"/>
    <n v="0"/>
    <n v="0"/>
    <n v="28.9"/>
    <n v="0.54200000000000004"/>
    <n v="23"/>
    <x v="0"/>
  </r>
  <r>
    <n v="0"/>
    <n v="91"/>
    <n v="68"/>
    <n v="32"/>
    <n v="210"/>
    <n v="39.9"/>
    <n v="0.38100000000000001"/>
    <n v="25"/>
    <x v="1"/>
  </r>
  <r>
    <n v="2"/>
    <n v="119"/>
    <n v="0"/>
    <n v="0"/>
    <n v="0"/>
    <n v="19.600000000000001"/>
    <n v="0.83199999999999996"/>
    <n v="72"/>
    <x v="1"/>
  </r>
  <r>
    <n v="2"/>
    <n v="100"/>
    <n v="54"/>
    <n v="28"/>
    <n v="105"/>
    <n v="37.799999999999997"/>
    <n v="0.498"/>
    <n v="24"/>
    <x v="1"/>
  </r>
  <r>
    <n v="14"/>
    <n v="175"/>
    <n v="62"/>
    <n v="30"/>
    <n v="0"/>
    <n v="33.6"/>
    <n v="0.21199999999999999"/>
    <n v="38"/>
    <x v="0"/>
  </r>
  <r>
    <n v="1"/>
    <n v="135"/>
    <n v="54"/>
    <n v="0"/>
    <n v="0"/>
    <n v="26.7"/>
    <n v="0.68700000000000006"/>
    <n v="62"/>
    <x v="1"/>
  </r>
  <r>
    <n v="5"/>
    <n v="86"/>
    <n v="68"/>
    <n v="28"/>
    <n v="71"/>
    <n v="30.2"/>
    <n v="0.36399999999999999"/>
    <n v="24"/>
    <x v="1"/>
  </r>
  <r>
    <n v="10"/>
    <n v="148"/>
    <n v="84"/>
    <n v="48"/>
    <n v="237"/>
    <n v="37.6"/>
    <n v="1.0009999999999999"/>
    <n v="51"/>
    <x v="0"/>
  </r>
  <r>
    <n v="9"/>
    <n v="134"/>
    <n v="74"/>
    <n v="33"/>
    <n v="60"/>
    <n v="25.9"/>
    <n v="0.46"/>
    <n v="81"/>
    <x v="1"/>
  </r>
  <r>
    <n v="9"/>
    <n v="120"/>
    <n v="72"/>
    <n v="22"/>
    <n v="56"/>
    <n v="20.8"/>
    <n v="0.73299999999999998"/>
    <n v="48"/>
    <x v="1"/>
  </r>
  <r>
    <n v="1"/>
    <n v="71"/>
    <n v="62"/>
    <n v="0"/>
    <n v="0"/>
    <n v="21.8"/>
    <n v="0.41599999999999998"/>
    <n v="26"/>
    <x v="1"/>
  </r>
  <r>
    <n v="8"/>
    <n v="74"/>
    <n v="70"/>
    <n v="40"/>
    <n v="49"/>
    <n v="35.299999999999997"/>
    <n v="0.70499999999999996"/>
    <n v="39"/>
    <x v="1"/>
  </r>
  <r>
    <n v="5"/>
    <n v="88"/>
    <n v="78"/>
    <n v="30"/>
    <n v="0"/>
    <n v="27.6"/>
    <n v="0.25800000000000001"/>
    <n v="37"/>
    <x v="1"/>
  </r>
  <r>
    <n v="10"/>
    <n v="115"/>
    <n v="98"/>
    <n v="0"/>
    <n v="0"/>
    <n v="24"/>
    <n v="1.022"/>
    <n v="34"/>
    <x v="1"/>
  </r>
  <r>
    <n v="0"/>
    <n v="124"/>
    <n v="56"/>
    <n v="13"/>
    <n v="105"/>
    <n v="21.8"/>
    <n v="0.45200000000000001"/>
    <n v="21"/>
    <x v="1"/>
  </r>
  <r>
    <n v="0"/>
    <n v="74"/>
    <n v="52"/>
    <n v="10"/>
    <n v="36"/>
    <n v="27.8"/>
    <n v="0.26900000000000002"/>
    <n v="22"/>
    <x v="1"/>
  </r>
  <r>
    <n v="0"/>
    <n v="97"/>
    <n v="64"/>
    <n v="36"/>
    <n v="100"/>
    <n v="36.799999999999997"/>
    <n v="0.6"/>
    <n v="25"/>
    <x v="1"/>
  </r>
  <r>
    <n v="8"/>
    <n v="120"/>
    <n v="0"/>
    <n v="0"/>
    <n v="0"/>
    <n v="30"/>
    <n v="0.183"/>
    <n v="38"/>
    <x v="0"/>
  </r>
  <r>
    <n v="6"/>
    <n v="154"/>
    <n v="78"/>
    <n v="41"/>
    <n v="140"/>
    <n v="46.1"/>
    <n v="0.57099999999999995"/>
    <n v="27"/>
    <x v="1"/>
  </r>
  <r>
    <n v="1"/>
    <n v="144"/>
    <n v="82"/>
    <n v="40"/>
    <n v="0"/>
    <n v="41.3"/>
    <n v="0.60699999999999998"/>
    <n v="28"/>
    <x v="1"/>
  </r>
  <r>
    <n v="0"/>
    <n v="137"/>
    <n v="70"/>
    <n v="38"/>
    <n v="0"/>
    <n v="33.200000000000003"/>
    <n v="0.17"/>
    <n v="22"/>
    <x v="1"/>
  </r>
  <r>
    <n v="0"/>
    <n v="119"/>
    <n v="66"/>
    <n v="27"/>
    <n v="0"/>
    <n v="38.799999999999997"/>
    <n v="0.25900000000000001"/>
    <n v="22"/>
    <x v="1"/>
  </r>
  <r>
    <n v="7"/>
    <n v="136"/>
    <n v="90"/>
    <n v="0"/>
    <n v="0"/>
    <n v="29.9"/>
    <n v="0.21"/>
    <n v="50"/>
    <x v="1"/>
  </r>
  <r>
    <n v="4"/>
    <n v="114"/>
    <n v="64"/>
    <n v="0"/>
    <n v="0"/>
    <n v="28.9"/>
    <n v="0.126"/>
    <n v="24"/>
    <x v="1"/>
  </r>
  <r>
    <n v="0"/>
    <n v="137"/>
    <n v="84"/>
    <n v="27"/>
    <n v="0"/>
    <n v="27.3"/>
    <n v="0.23100000000000001"/>
    <n v="59"/>
    <x v="1"/>
  </r>
  <r>
    <n v="2"/>
    <n v="105"/>
    <n v="80"/>
    <n v="45"/>
    <n v="191"/>
    <n v="33.700000000000003"/>
    <n v="0.71099999999999997"/>
    <n v="29"/>
    <x v="0"/>
  </r>
  <r>
    <n v="7"/>
    <n v="114"/>
    <n v="76"/>
    <n v="17"/>
    <n v="110"/>
    <n v="23.8"/>
    <n v="0.46600000000000003"/>
    <n v="31"/>
    <x v="1"/>
  </r>
  <r>
    <n v="8"/>
    <n v="126"/>
    <n v="74"/>
    <n v="38"/>
    <n v="75"/>
    <n v="25.9"/>
    <n v="0.16200000000000001"/>
    <n v="39"/>
    <x v="1"/>
  </r>
  <r>
    <n v="4"/>
    <n v="132"/>
    <n v="86"/>
    <n v="31"/>
    <n v="0"/>
    <n v="28"/>
    <n v="0.41899999999999998"/>
    <n v="63"/>
    <x v="1"/>
  </r>
  <r>
    <n v="3"/>
    <n v="158"/>
    <n v="70"/>
    <n v="30"/>
    <n v="328"/>
    <n v="35.5"/>
    <n v="0.34399999999999997"/>
    <n v="35"/>
    <x v="0"/>
  </r>
  <r>
    <n v="0"/>
    <n v="123"/>
    <n v="88"/>
    <n v="37"/>
    <n v="0"/>
    <n v="35.200000000000003"/>
    <n v="0.19700000000000001"/>
    <n v="29"/>
    <x v="1"/>
  </r>
  <r>
    <n v="4"/>
    <n v="85"/>
    <n v="58"/>
    <n v="22"/>
    <n v="49"/>
    <n v="27.8"/>
    <n v="0.30599999999999999"/>
    <n v="28"/>
    <x v="1"/>
  </r>
  <r>
    <n v="0"/>
    <n v="84"/>
    <n v="82"/>
    <n v="31"/>
    <n v="125"/>
    <n v="38.200000000000003"/>
    <n v="0.23300000000000001"/>
    <n v="23"/>
    <x v="1"/>
  </r>
  <r>
    <n v="0"/>
    <n v="145"/>
    <n v="0"/>
    <n v="0"/>
    <n v="0"/>
    <n v="44.2"/>
    <n v="0.63"/>
    <n v="31"/>
    <x v="0"/>
  </r>
  <r>
    <n v="0"/>
    <n v="135"/>
    <n v="68"/>
    <n v="42"/>
    <n v="250"/>
    <n v="42.3"/>
    <n v="0.36499999999999999"/>
    <n v="24"/>
    <x v="0"/>
  </r>
  <r>
    <n v="1"/>
    <n v="139"/>
    <n v="62"/>
    <n v="41"/>
    <n v="480"/>
    <n v="40.700000000000003"/>
    <n v="0.53600000000000003"/>
    <n v="21"/>
    <x v="1"/>
  </r>
  <r>
    <n v="0"/>
    <n v="173"/>
    <n v="78"/>
    <n v="32"/>
    <n v="265"/>
    <n v="46.5"/>
    <n v="1.159"/>
    <n v="58"/>
    <x v="1"/>
  </r>
  <r>
    <n v="4"/>
    <n v="99"/>
    <n v="72"/>
    <n v="17"/>
    <n v="0"/>
    <n v="25.6"/>
    <n v="0.29399999999999998"/>
    <n v="28"/>
    <x v="1"/>
  </r>
  <r>
    <n v="8"/>
    <n v="194"/>
    <n v="80"/>
    <n v="0"/>
    <n v="0"/>
    <n v="26.1"/>
    <n v="0.55100000000000005"/>
    <n v="67"/>
    <x v="1"/>
  </r>
  <r>
    <n v="2"/>
    <n v="83"/>
    <n v="65"/>
    <n v="28"/>
    <n v="66"/>
    <n v="36.799999999999997"/>
    <n v="0.629"/>
    <n v="24"/>
    <x v="1"/>
  </r>
  <r>
    <n v="2"/>
    <n v="89"/>
    <n v="90"/>
    <n v="30"/>
    <n v="0"/>
    <n v="33.5"/>
    <n v="0.29199999999999998"/>
    <n v="42"/>
    <x v="1"/>
  </r>
  <r>
    <n v="4"/>
    <n v="99"/>
    <n v="68"/>
    <n v="38"/>
    <n v="0"/>
    <n v="32.799999999999997"/>
    <n v="0.14499999999999999"/>
    <n v="33"/>
    <x v="1"/>
  </r>
  <r>
    <n v="4"/>
    <n v="125"/>
    <n v="70"/>
    <n v="18"/>
    <n v="122"/>
    <n v="28.9"/>
    <n v="1.1439999999999999"/>
    <n v="45"/>
    <x v="0"/>
  </r>
  <r>
    <n v="3"/>
    <n v="80"/>
    <n v="0"/>
    <n v="0"/>
    <n v="0"/>
    <n v="0"/>
    <n v="0.17399999999999999"/>
    <n v="22"/>
    <x v="1"/>
  </r>
  <r>
    <n v="6"/>
    <n v="166"/>
    <n v="74"/>
    <n v="0"/>
    <n v="0"/>
    <n v="26.6"/>
    <n v="0.30399999999999999"/>
    <n v="66"/>
    <x v="1"/>
  </r>
  <r>
    <n v="5"/>
    <n v="110"/>
    <n v="68"/>
    <n v="0"/>
    <n v="0"/>
    <n v="26"/>
    <n v="0.29199999999999998"/>
    <n v="30"/>
    <x v="1"/>
  </r>
  <r>
    <n v="2"/>
    <n v="81"/>
    <n v="72"/>
    <n v="15"/>
    <n v="76"/>
    <n v="30.1"/>
    <n v="0.54700000000000004"/>
    <n v="25"/>
    <x v="1"/>
  </r>
  <r>
    <n v="7"/>
    <n v="195"/>
    <n v="70"/>
    <n v="33"/>
    <n v="145"/>
    <n v="25.1"/>
    <n v="0.16300000000000001"/>
    <n v="55"/>
    <x v="0"/>
  </r>
  <r>
    <n v="6"/>
    <n v="154"/>
    <n v="74"/>
    <n v="32"/>
    <n v="193"/>
    <n v="29.3"/>
    <n v="0.83899999999999997"/>
    <n v="39"/>
    <x v="1"/>
  </r>
  <r>
    <n v="2"/>
    <n v="117"/>
    <n v="90"/>
    <n v="19"/>
    <n v="71"/>
    <n v="25.2"/>
    <n v="0.313"/>
    <n v="21"/>
    <x v="1"/>
  </r>
  <r>
    <n v="3"/>
    <n v="84"/>
    <n v="72"/>
    <n v="32"/>
    <n v="0"/>
    <n v="37.200000000000003"/>
    <n v="0.26700000000000002"/>
    <n v="28"/>
    <x v="1"/>
  </r>
  <r>
    <n v="6"/>
    <n v="0"/>
    <n v="68"/>
    <n v="41"/>
    <n v="0"/>
    <n v="39"/>
    <n v="0.72699999999999998"/>
    <n v="41"/>
    <x v="0"/>
  </r>
  <r>
    <n v="7"/>
    <n v="94"/>
    <n v="64"/>
    <n v="25"/>
    <n v="79"/>
    <n v="33.299999999999997"/>
    <n v="0.73799999999999999"/>
    <n v="41"/>
    <x v="1"/>
  </r>
  <r>
    <n v="3"/>
    <n v="96"/>
    <n v="78"/>
    <n v="39"/>
    <n v="0"/>
    <n v="37.299999999999997"/>
    <n v="0.23799999999999999"/>
    <n v="40"/>
    <x v="1"/>
  </r>
  <r>
    <n v="10"/>
    <n v="75"/>
    <n v="82"/>
    <n v="0"/>
    <n v="0"/>
    <n v="33.299999999999997"/>
    <n v="0.26300000000000001"/>
    <n v="38"/>
    <x v="1"/>
  </r>
  <r>
    <n v="0"/>
    <n v="180"/>
    <n v="90"/>
    <n v="26"/>
    <n v="90"/>
    <n v="36.5"/>
    <n v="0.314"/>
    <n v="35"/>
    <x v="0"/>
  </r>
  <r>
    <n v="1"/>
    <n v="130"/>
    <n v="60"/>
    <n v="23"/>
    <n v="170"/>
    <n v="28.6"/>
    <n v="0.69199999999999995"/>
    <n v="21"/>
    <x v="1"/>
  </r>
  <r>
    <n v="2"/>
    <n v="84"/>
    <n v="50"/>
    <n v="23"/>
    <n v="76"/>
    <n v="30.4"/>
    <n v="0.96799999999999997"/>
    <n v="21"/>
    <x v="1"/>
  </r>
  <r>
    <n v="8"/>
    <n v="120"/>
    <n v="78"/>
    <n v="0"/>
    <n v="0"/>
    <n v="25"/>
    <n v="0.40899999999999997"/>
    <n v="64"/>
    <x v="1"/>
  </r>
  <r>
    <n v="12"/>
    <n v="84"/>
    <n v="72"/>
    <n v="31"/>
    <n v="0"/>
    <n v="29.7"/>
    <n v="0.29699999999999999"/>
    <n v="46"/>
    <x v="0"/>
  </r>
  <r>
    <n v="0"/>
    <n v="139"/>
    <n v="62"/>
    <n v="17"/>
    <n v="210"/>
    <n v="22.1"/>
    <n v="0.20699999999999999"/>
    <n v="21"/>
    <x v="1"/>
  </r>
  <r>
    <n v="9"/>
    <n v="91"/>
    <n v="68"/>
    <n v="0"/>
    <n v="0"/>
    <n v="24.2"/>
    <n v="0.2"/>
    <n v="58"/>
    <x v="1"/>
  </r>
  <r>
    <n v="2"/>
    <n v="91"/>
    <n v="62"/>
    <n v="0"/>
    <n v="0"/>
    <n v="27.3"/>
    <n v="0.52500000000000002"/>
    <n v="22"/>
    <x v="1"/>
  </r>
  <r>
    <n v="3"/>
    <n v="99"/>
    <n v="54"/>
    <n v="19"/>
    <n v="86"/>
    <n v="25.6"/>
    <n v="0.154"/>
    <n v="24"/>
    <x v="1"/>
  </r>
  <r>
    <n v="3"/>
    <n v="163"/>
    <n v="70"/>
    <n v="18"/>
    <n v="105"/>
    <n v="31.6"/>
    <n v="0.26800000000000002"/>
    <n v="28"/>
    <x v="0"/>
  </r>
  <r>
    <n v="9"/>
    <n v="145"/>
    <n v="88"/>
    <n v="34"/>
    <n v="165"/>
    <n v="30.3"/>
    <n v="0.77100000000000002"/>
    <n v="53"/>
    <x v="0"/>
  </r>
  <r>
    <n v="7"/>
    <n v="125"/>
    <n v="86"/>
    <n v="0"/>
    <n v="0"/>
    <n v="37.6"/>
    <n v="0.30399999999999999"/>
    <n v="51"/>
    <x v="1"/>
  </r>
  <r>
    <n v="13"/>
    <n v="76"/>
    <n v="60"/>
    <n v="0"/>
    <n v="0"/>
    <n v="32.799999999999997"/>
    <n v="0.18"/>
    <n v="41"/>
    <x v="1"/>
  </r>
  <r>
    <n v="6"/>
    <n v="129"/>
    <n v="90"/>
    <n v="7"/>
    <n v="326"/>
    <n v="19.600000000000001"/>
    <n v="0.58199999999999996"/>
    <n v="60"/>
    <x v="1"/>
  </r>
  <r>
    <n v="2"/>
    <n v="68"/>
    <n v="70"/>
    <n v="32"/>
    <n v="66"/>
    <n v="25"/>
    <n v="0.187"/>
    <n v="25"/>
    <x v="1"/>
  </r>
  <r>
    <n v="3"/>
    <n v="124"/>
    <n v="80"/>
    <n v="33"/>
    <n v="130"/>
    <n v="33.200000000000003"/>
    <n v="0.30499999999999999"/>
    <n v="26"/>
    <x v="1"/>
  </r>
  <r>
    <n v="6"/>
    <n v="114"/>
    <n v="0"/>
    <n v="0"/>
    <n v="0"/>
    <n v="0"/>
    <n v="0.189"/>
    <n v="26"/>
    <x v="1"/>
  </r>
  <r>
    <n v="9"/>
    <n v="130"/>
    <n v="70"/>
    <n v="0"/>
    <n v="0"/>
    <n v="34.200000000000003"/>
    <n v="0.65200000000000002"/>
    <n v="45"/>
    <x v="0"/>
  </r>
  <r>
    <n v="3"/>
    <n v="125"/>
    <n v="58"/>
    <n v="0"/>
    <n v="0"/>
    <n v="31.6"/>
    <n v="0.151"/>
    <n v="24"/>
    <x v="1"/>
  </r>
  <r>
    <n v="3"/>
    <n v="87"/>
    <n v="60"/>
    <n v="18"/>
    <n v="0"/>
    <n v="21.8"/>
    <n v="0.44400000000000001"/>
    <n v="21"/>
    <x v="1"/>
  </r>
  <r>
    <n v="1"/>
    <n v="97"/>
    <n v="64"/>
    <n v="19"/>
    <n v="82"/>
    <n v="18.2"/>
    <n v="0.29899999999999999"/>
    <n v="21"/>
    <x v="1"/>
  </r>
  <r>
    <n v="3"/>
    <n v="116"/>
    <n v="74"/>
    <n v="15"/>
    <n v="105"/>
    <n v="26.3"/>
    <n v="0.107"/>
    <n v="24"/>
    <x v="1"/>
  </r>
  <r>
    <n v="0"/>
    <n v="117"/>
    <n v="66"/>
    <n v="31"/>
    <n v="188"/>
    <n v="30.8"/>
    <n v="0.49299999999999999"/>
    <n v="22"/>
    <x v="1"/>
  </r>
  <r>
    <n v="0"/>
    <n v="111"/>
    <n v="65"/>
    <n v="0"/>
    <n v="0"/>
    <n v="24.6"/>
    <n v="0.66"/>
    <n v="31"/>
    <x v="1"/>
  </r>
  <r>
    <n v="2"/>
    <n v="122"/>
    <n v="60"/>
    <n v="18"/>
    <n v="106"/>
    <n v="29.8"/>
    <n v="0.71699999999999997"/>
    <n v="22"/>
    <x v="1"/>
  </r>
  <r>
    <n v="0"/>
    <n v="107"/>
    <n v="76"/>
    <n v="0"/>
    <n v="0"/>
    <n v="45.3"/>
    <n v="0.68600000000000005"/>
    <n v="24"/>
    <x v="1"/>
  </r>
  <r>
    <n v="1"/>
    <n v="86"/>
    <n v="66"/>
    <n v="52"/>
    <n v="65"/>
    <n v="41.3"/>
    <n v="0.91700000000000004"/>
    <n v="29"/>
    <x v="1"/>
  </r>
  <r>
    <n v="6"/>
    <n v="91"/>
    <n v="0"/>
    <n v="0"/>
    <n v="0"/>
    <n v="29.8"/>
    <n v="0.501"/>
    <n v="31"/>
    <x v="1"/>
  </r>
  <r>
    <n v="1"/>
    <n v="77"/>
    <n v="56"/>
    <n v="30"/>
    <n v="56"/>
    <n v="33.299999999999997"/>
    <n v="1.2509999999999999"/>
    <n v="24"/>
    <x v="1"/>
  </r>
  <r>
    <n v="4"/>
    <n v="132"/>
    <n v="0"/>
    <n v="0"/>
    <n v="0"/>
    <n v="32.9"/>
    <n v="0.30199999999999999"/>
    <n v="23"/>
    <x v="0"/>
  </r>
  <r>
    <n v="0"/>
    <n v="105"/>
    <n v="90"/>
    <n v="0"/>
    <n v="0"/>
    <n v="29.6"/>
    <n v="0.19700000000000001"/>
    <n v="46"/>
    <x v="1"/>
  </r>
  <r>
    <n v="0"/>
    <n v="57"/>
    <n v="60"/>
    <n v="0"/>
    <n v="0"/>
    <n v="21.7"/>
    <n v="0.73499999999999999"/>
    <n v="67"/>
    <x v="1"/>
  </r>
  <r>
    <n v="0"/>
    <n v="127"/>
    <n v="80"/>
    <n v="37"/>
    <n v="210"/>
    <n v="36.299999999999997"/>
    <n v="0.80400000000000005"/>
    <n v="23"/>
    <x v="1"/>
  </r>
  <r>
    <n v="3"/>
    <n v="129"/>
    <n v="92"/>
    <n v="49"/>
    <n v="155"/>
    <n v="36.4"/>
    <n v="0.96799999999999997"/>
    <n v="32"/>
    <x v="0"/>
  </r>
  <r>
    <n v="8"/>
    <n v="100"/>
    <n v="74"/>
    <n v="40"/>
    <n v="215"/>
    <n v="39.4"/>
    <n v="0.66100000000000003"/>
    <n v="43"/>
    <x v="0"/>
  </r>
  <r>
    <n v="3"/>
    <n v="128"/>
    <n v="72"/>
    <n v="25"/>
    <n v="190"/>
    <n v="32.4"/>
    <n v="0.54900000000000004"/>
    <n v="27"/>
    <x v="0"/>
  </r>
  <r>
    <n v="10"/>
    <n v="90"/>
    <n v="85"/>
    <n v="32"/>
    <n v="0"/>
    <n v="34.9"/>
    <n v="0.82499999999999996"/>
    <n v="56"/>
    <x v="0"/>
  </r>
  <r>
    <n v="4"/>
    <n v="84"/>
    <n v="90"/>
    <n v="23"/>
    <n v="56"/>
    <n v="39.5"/>
    <n v="0.159"/>
    <n v="25"/>
    <x v="1"/>
  </r>
  <r>
    <n v="1"/>
    <n v="88"/>
    <n v="78"/>
    <n v="29"/>
    <n v="76"/>
    <n v="32"/>
    <n v="0.36499999999999999"/>
    <n v="29"/>
    <x v="1"/>
  </r>
  <r>
    <n v="8"/>
    <n v="186"/>
    <n v="90"/>
    <n v="35"/>
    <n v="225"/>
    <n v="34.5"/>
    <n v="0.42299999999999999"/>
    <n v="37"/>
    <x v="0"/>
  </r>
  <r>
    <n v="5"/>
    <n v="187"/>
    <n v="76"/>
    <n v="27"/>
    <n v="207"/>
    <n v="43.6"/>
    <n v="1.034"/>
    <n v="53"/>
    <x v="0"/>
  </r>
  <r>
    <n v="4"/>
    <n v="131"/>
    <n v="68"/>
    <n v="21"/>
    <n v="166"/>
    <n v="33.1"/>
    <n v="0.16"/>
    <n v="28"/>
    <x v="1"/>
  </r>
  <r>
    <n v="1"/>
    <n v="164"/>
    <n v="82"/>
    <n v="43"/>
    <n v="67"/>
    <n v="32.799999999999997"/>
    <n v="0.34100000000000003"/>
    <n v="50"/>
    <x v="1"/>
  </r>
  <r>
    <n v="4"/>
    <n v="189"/>
    <n v="110"/>
    <n v="31"/>
    <n v="0"/>
    <n v="28.5"/>
    <n v="0.68"/>
    <n v="37"/>
    <x v="1"/>
  </r>
  <r>
    <n v="1"/>
    <n v="116"/>
    <n v="70"/>
    <n v="28"/>
    <n v="0"/>
    <n v="27.4"/>
    <n v="0.20399999999999999"/>
    <n v="21"/>
    <x v="1"/>
  </r>
  <r>
    <n v="3"/>
    <n v="84"/>
    <n v="68"/>
    <n v="30"/>
    <n v="106"/>
    <n v="31.9"/>
    <n v="0.59099999999999997"/>
    <n v="25"/>
    <x v="1"/>
  </r>
  <r>
    <n v="6"/>
    <n v="114"/>
    <n v="88"/>
    <n v="0"/>
    <n v="0"/>
    <n v="27.8"/>
    <n v="0.247"/>
    <n v="66"/>
    <x v="1"/>
  </r>
  <r>
    <n v="1"/>
    <n v="88"/>
    <n v="62"/>
    <n v="24"/>
    <n v="44"/>
    <n v="29.9"/>
    <n v="0.42199999999999999"/>
    <n v="23"/>
    <x v="1"/>
  </r>
  <r>
    <n v="1"/>
    <n v="84"/>
    <n v="64"/>
    <n v="23"/>
    <n v="115"/>
    <n v="36.9"/>
    <n v="0.47099999999999997"/>
    <n v="28"/>
    <x v="1"/>
  </r>
  <r>
    <n v="7"/>
    <n v="124"/>
    <n v="70"/>
    <n v="33"/>
    <n v="215"/>
    <n v="25.5"/>
    <n v="0.161"/>
    <n v="37"/>
    <x v="1"/>
  </r>
  <r>
    <n v="1"/>
    <n v="97"/>
    <n v="70"/>
    <n v="40"/>
    <n v="0"/>
    <n v="38.1"/>
    <n v="0.218"/>
    <n v="30"/>
    <x v="1"/>
  </r>
  <r>
    <n v="8"/>
    <n v="110"/>
    <n v="76"/>
    <n v="0"/>
    <n v="0"/>
    <n v="27.8"/>
    <n v="0.23699999999999999"/>
    <n v="58"/>
    <x v="1"/>
  </r>
  <r>
    <n v="11"/>
    <n v="103"/>
    <n v="68"/>
    <n v="40"/>
    <n v="0"/>
    <n v="46.2"/>
    <n v="0.126"/>
    <n v="42"/>
    <x v="1"/>
  </r>
  <r>
    <n v="11"/>
    <n v="85"/>
    <n v="74"/>
    <n v="0"/>
    <n v="0"/>
    <n v="30.1"/>
    <n v="0.3"/>
    <n v="35"/>
    <x v="1"/>
  </r>
  <r>
    <n v="6"/>
    <n v="125"/>
    <n v="76"/>
    <n v="0"/>
    <n v="0"/>
    <n v="33.799999999999997"/>
    <n v="0.121"/>
    <n v="54"/>
    <x v="0"/>
  </r>
  <r>
    <n v="0"/>
    <n v="198"/>
    <n v="66"/>
    <n v="32"/>
    <n v="274"/>
    <n v="41.3"/>
    <n v="0.502"/>
    <n v="28"/>
    <x v="0"/>
  </r>
  <r>
    <n v="1"/>
    <n v="87"/>
    <n v="68"/>
    <n v="34"/>
    <n v="77"/>
    <n v="37.6"/>
    <n v="0.40100000000000002"/>
    <n v="24"/>
    <x v="1"/>
  </r>
  <r>
    <n v="6"/>
    <n v="99"/>
    <n v="60"/>
    <n v="19"/>
    <n v="54"/>
    <n v="26.9"/>
    <n v="0.497"/>
    <n v="32"/>
    <x v="1"/>
  </r>
  <r>
    <n v="0"/>
    <n v="91"/>
    <n v="80"/>
    <n v="0"/>
    <n v="0"/>
    <n v="32.4"/>
    <n v="0.60099999999999998"/>
    <n v="27"/>
    <x v="1"/>
  </r>
  <r>
    <n v="2"/>
    <n v="95"/>
    <n v="54"/>
    <n v="14"/>
    <n v="88"/>
    <n v="26.1"/>
    <n v="0.748"/>
    <n v="22"/>
    <x v="1"/>
  </r>
  <r>
    <n v="1"/>
    <n v="99"/>
    <n v="72"/>
    <n v="30"/>
    <n v="18"/>
    <n v="38.6"/>
    <n v="0.41199999999999998"/>
    <n v="21"/>
    <x v="1"/>
  </r>
  <r>
    <n v="6"/>
    <n v="92"/>
    <n v="62"/>
    <n v="32"/>
    <n v="126"/>
    <n v="32"/>
    <n v="8.5000000000000006E-2"/>
    <n v="46"/>
    <x v="1"/>
  </r>
  <r>
    <n v="4"/>
    <n v="154"/>
    <n v="72"/>
    <n v="29"/>
    <n v="126"/>
    <n v="31.3"/>
    <n v="0.33800000000000002"/>
    <n v="37"/>
    <x v="1"/>
  </r>
  <r>
    <n v="0"/>
    <n v="121"/>
    <n v="66"/>
    <n v="30"/>
    <n v="165"/>
    <n v="34.299999999999997"/>
    <n v="0.20300000000000001"/>
    <n v="33"/>
    <x v="0"/>
  </r>
  <r>
    <n v="3"/>
    <n v="78"/>
    <n v="70"/>
    <n v="0"/>
    <n v="0"/>
    <n v="32.5"/>
    <n v="0.27"/>
    <n v="39"/>
    <x v="1"/>
  </r>
  <r>
    <n v="2"/>
    <n v="130"/>
    <n v="96"/>
    <n v="0"/>
    <n v="0"/>
    <n v="22.6"/>
    <n v="0.26800000000000002"/>
    <n v="21"/>
    <x v="1"/>
  </r>
  <r>
    <n v="3"/>
    <n v="111"/>
    <n v="58"/>
    <n v="31"/>
    <n v="44"/>
    <n v="29.5"/>
    <n v="0.43"/>
    <n v="22"/>
    <x v="1"/>
  </r>
  <r>
    <n v="2"/>
    <n v="98"/>
    <n v="60"/>
    <n v="17"/>
    <n v="120"/>
    <n v="34.700000000000003"/>
    <n v="0.19800000000000001"/>
    <n v="22"/>
    <x v="1"/>
  </r>
  <r>
    <n v="1"/>
    <n v="143"/>
    <n v="86"/>
    <n v="30"/>
    <n v="330"/>
    <n v="30.1"/>
    <n v="0.89200000000000002"/>
    <n v="23"/>
    <x v="1"/>
  </r>
  <r>
    <n v="1"/>
    <n v="119"/>
    <n v="44"/>
    <n v="47"/>
    <n v="63"/>
    <n v="35.5"/>
    <n v="0.28000000000000003"/>
    <n v="25"/>
    <x v="1"/>
  </r>
  <r>
    <n v="6"/>
    <n v="108"/>
    <n v="44"/>
    <n v="20"/>
    <n v="130"/>
    <n v="24"/>
    <n v="0.81299999999999994"/>
    <n v="35"/>
    <x v="1"/>
  </r>
  <r>
    <n v="2"/>
    <n v="118"/>
    <n v="80"/>
    <n v="0"/>
    <n v="0"/>
    <n v="42.9"/>
    <n v="0.69299999999999995"/>
    <n v="21"/>
    <x v="0"/>
  </r>
  <r>
    <n v="10"/>
    <n v="133"/>
    <n v="68"/>
    <n v="0"/>
    <n v="0"/>
    <n v="27"/>
    <n v="0.245"/>
    <n v="36"/>
    <x v="1"/>
  </r>
  <r>
    <n v="2"/>
    <n v="197"/>
    <n v="70"/>
    <n v="99"/>
    <n v="0"/>
    <n v="34.700000000000003"/>
    <n v="0.57499999999999996"/>
    <n v="62"/>
    <x v="0"/>
  </r>
  <r>
    <n v="0"/>
    <n v="151"/>
    <n v="90"/>
    <n v="46"/>
    <n v="0"/>
    <n v="42.1"/>
    <n v="0.371"/>
    <n v="21"/>
    <x v="0"/>
  </r>
  <r>
    <n v="6"/>
    <n v="109"/>
    <n v="60"/>
    <n v="27"/>
    <n v="0"/>
    <n v="25"/>
    <n v="0.20599999999999999"/>
    <n v="27"/>
    <x v="1"/>
  </r>
  <r>
    <n v="12"/>
    <n v="121"/>
    <n v="78"/>
    <n v="17"/>
    <n v="0"/>
    <n v="26.5"/>
    <n v="0.25900000000000001"/>
    <n v="62"/>
    <x v="1"/>
  </r>
  <r>
    <n v="8"/>
    <n v="100"/>
    <n v="76"/>
    <n v="0"/>
    <n v="0"/>
    <n v="38.700000000000003"/>
    <n v="0.19"/>
    <n v="42"/>
    <x v="1"/>
  </r>
  <r>
    <n v="8"/>
    <n v="124"/>
    <n v="76"/>
    <n v="24"/>
    <n v="600"/>
    <n v="28.7"/>
    <n v="0.68700000000000006"/>
    <n v="52"/>
    <x v="0"/>
  </r>
  <r>
    <n v="1"/>
    <n v="93"/>
    <n v="56"/>
    <n v="11"/>
    <n v="0"/>
    <n v="22.5"/>
    <n v="0.41699999999999998"/>
    <n v="22"/>
    <x v="1"/>
  </r>
  <r>
    <n v="8"/>
    <n v="143"/>
    <n v="66"/>
    <n v="0"/>
    <n v="0"/>
    <n v="34.9"/>
    <n v="0.129"/>
    <n v="41"/>
    <x v="0"/>
  </r>
  <r>
    <n v="6"/>
    <n v="103"/>
    <n v="66"/>
    <n v="0"/>
    <n v="0"/>
    <n v="24.3"/>
    <n v="0.249"/>
    <n v="29"/>
    <x v="1"/>
  </r>
  <r>
    <n v="3"/>
    <n v="176"/>
    <n v="86"/>
    <n v="27"/>
    <n v="156"/>
    <n v="33.299999999999997"/>
    <n v="1.1539999999999999"/>
    <n v="52"/>
    <x v="0"/>
  </r>
  <r>
    <n v="0"/>
    <n v="73"/>
    <n v="0"/>
    <n v="0"/>
    <n v="0"/>
    <n v="21.1"/>
    <n v="0.34200000000000003"/>
    <n v="25"/>
    <x v="1"/>
  </r>
  <r>
    <n v="11"/>
    <n v="111"/>
    <n v="84"/>
    <n v="40"/>
    <n v="0"/>
    <n v="46.8"/>
    <n v="0.92500000000000004"/>
    <n v="45"/>
    <x v="0"/>
  </r>
  <r>
    <n v="2"/>
    <n v="112"/>
    <n v="78"/>
    <n v="50"/>
    <n v="140"/>
    <n v="39.4"/>
    <n v="0.17499999999999999"/>
    <n v="24"/>
    <x v="1"/>
  </r>
  <r>
    <n v="3"/>
    <n v="132"/>
    <n v="80"/>
    <n v="0"/>
    <n v="0"/>
    <n v="34.4"/>
    <n v="0.40200000000000002"/>
    <n v="44"/>
    <x v="0"/>
  </r>
  <r>
    <n v="2"/>
    <n v="82"/>
    <n v="52"/>
    <n v="22"/>
    <n v="115"/>
    <n v="28.5"/>
    <n v="1.6990000000000001"/>
    <n v="25"/>
    <x v="1"/>
  </r>
  <r>
    <n v="6"/>
    <n v="123"/>
    <n v="72"/>
    <n v="45"/>
    <n v="230"/>
    <n v="33.6"/>
    <n v="0.73299999999999998"/>
    <n v="34"/>
    <x v="1"/>
  </r>
  <r>
    <n v="0"/>
    <n v="188"/>
    <n v="82"/>
    <n v="14"/>
    <n v="185"/>
    <n v="32"/>
    <n v="0.68200000000000005"/>
    <n v="22"/>
    <x v="0"/>
  </r>
  <r>
    <n v="0"/>
    <n v="67"/>
    <n v="76"/>
    <n v="0"/>
    <n v="0"/>
    <n v="45.3"/>
    <n v="0.19400000000000001"/>
    <n v="46"/>
    <x v="1"/>
  </r>
  <r>
    <n v="1"/>
    <n v="89"/>
    <n v="24"/>
    <n v="19"/>
    <n v="25"/>
    <n v="27.8"/>
    <n v="0.55900000000000005"/>
    <n v="21"/>
    <x v="1"/>
  </r>
  <r>
    <n v="1"/>
    <n v="173"/>
    <n v="74"/>
    <n v="0"/>
    <n v="0"/>
    <n v="36.799999999999997"/>
    <n v="8.7999999999999995E-2"/>
    <n v="38"/>
    <x v="0"/>
  </r>
  <r>
    <n v="1"/>
    <n v="109"/>
    <n v="38"/>
    <n v="18"/>
    <n v="120"/>
    <n v="23.1"/>
    <n v="0.40699999999999997"/>
    <n v="26"/>
    <x v="1"/>
  </r>
  <r>
    <n v="1"/>
    <n v="108"/>
    <n v="88"/>
    <n v="19"/>
    <n v="0"/>
    <n v="27.1"/>
    <n v="0.4"/>
    <n v="24"/>
    <x v="1"/>
  </r>
  <r>
    <n v="6"/>
    <n v="96"/>
    <n v="0"/>
    <n v="0"/>
    <n v="0"/>
    <n v="23.7"/>
    <n v="0.19"/>
    <n v="28"/>
    <x v="1"/>
  </r>
  <r>
    <n v="1"/>
    <n v="124"/>
    <n v="74"/>
    <n v="36"/>
    <n v="0"/>
    <n v="27.8"/>
    <n v="0.1"/>
    <n v="30"/>
    <x v="1"/>
  </r>
  <r>
    <n v="7"/>
    <n v="150"/>
    <n v="78"/>
    <n v="29"/>
    <n v="126"/>
    <n v="35.200000000000003"/>
    <n v="0.69199999999999995"/>
    <n v="54"/>
    <x v="0"/>
  </r>
  <r>
    <n v="4"/>
    <n v="183"/>
    <n v="0"/>
    <n v="0"/>
    <n v="0"/>
    <n v="28.4"/>
    <n v="0.21199999999999999"/>
    <n v="36"/>
    <x v="0"/>
  </r>
  <r>
    <n v="1"/>
    <n v="124"/>
    <n v="60"/>
    <n v="32"/>
    <n v="0"/>
    <n v="35.799999999999997"/>
    <n v="0.51400000000000001"/>
    <n v="21"/>
    <x v="1"/>
  </r>
  <r>
    <n v="1"/>
    <n v="181"/>
    <n v="78"/>
    <n v="42"/>
    <n v="293"/>
    <n v="40"/>
    <n v="1.258"/>
    <n v="22"/>
    <x v="0"/>
  </r>
  <r>
    <n v="1"/>
    <n v="92"/>
    <n v="62"/>
    <n v="25"/>
    <n v="41"/>
    <n v="19.5"/>
    <n v="0.48199999999999998"/>
    <n v="25"/>
    <x v="1"/>
  </r>
  <r>
    <n v="0"/>
    <n v="152"/>
    <n v="82"/>
    <n v="39"/>
    <n v="272"/>
    <n v="41.5"/>
    <n v="0.27"/>
    <n v="27"/>
    <x v="1"/>
  </r>
  <r>
    <n v="1"/>
    <n v="111"/>
    <n v="62"/>
    <n v="13"/>
    <n v="182"/>
    <n v="24"/>
    <n v="0.13800000000000001"/>
    <n v="23"/>
    <x v="1"/>
  </r>
  <r>
    <n v="3"/>
    <n v="106"/>
    <n v="54"/>
    <n v="21"/>
    <n v="158"/>
    <n v="30.9"/>
    <n v="0.29199999999999998"/>
    <n v="24"/>
    <x v="1"/>
  </r>
  <r>
    <n v="3"/>
    <n v="174"/>
    <n v="58"/>
    <n v="22"/>
    <n v="194"/>
    <n v="32.9"/>
    <n v="0.59299999999999997"/>
    <n v="36"/>
    <x v="0"/>
  </r>
  <r>
    <n v="7"/>
    <n v="168"/>
    <n v="88"/>
    <n v="42"/>
    <n v="321"/>
    <n v="38.200000000000003"/>
    <n v="0.78700000000000003"/>
    <n v="40"/>
    <x v="0"/>
  </r>
  <r>
    <n v="6"/>
    <n v="105"/>
    <n v="80"/>
    <n v="28"/>
    <n v="0"/>
    <n v="32.5"/>
    <n v="0.878"/>
    <n v="26"/>
    <x v="1"/>
  </r>
  <r>
    <n v="11"/>
    <n v="138"/>
    <n v="74"/>
    <n v="26"/>
    <n v="144"/>
    <n v="36.1"/>
    <n v="0.55700000000000005"/>
    <n v="50"/>
    <x v="0"/>
  </r>
  <r>
    <n v="3"/>
    <n v="106"/>
    <n v="72"/>
    <n v="0"/>
    <n v="0"/>
    <n v="25.8"/>
    <n v="0.20699999999999999"/>
    <n v="27"/>
    <x v="1"/>
  </r>
  <r>
    <n v="6"/>
    <n v="117"/>
    <n v="96"/>
    <n v="0"/>
    <n v="0"/>
    <n v="28.7"/>
    <n v="0.157"/>
    <n v="30"/>
    <x v="1"/>
  </r>
  <r>
    <n v="2"/>
    <n v="68"/>
    <n v="62"/>
    <n v="13"/>
    <n v="15"/>
    <n v="20.100000000000001"/>
    <n v="0.25700000000000001"/>
    <n v="23"/>
    <x v="1"/>
  </r>
  <r>
    <n v="9"/>
    <n v="112"/>
    <n v="82"/>
    <n v="24"/>
    <n v="0"/>
    <n v="28.2"/>
    <n v="1.282"/>
    <n v="50"/>
    <x v="0"/>
  </r>
  <r>
    <n v="0"/>
    <n v="119"/>
    <n v="0"/>
    <n v="0"/>
    <n v="0"/>
    <n v="32.4"/>
    <n v="0.14099999999999999"/>
    <n v="24"/>
    <x v="0"/>
  </r>
  <r>
    <n v="2"/>
    <n v="112"/>
    <n v="86"/>
    <n v="42"/>
    <n v="160"/>
    <n v="38.4"/>
    <n v="0.246"/>
    <n v="28"/>
    <x v="1"/>
  </r>
  <r>
    <n v="2"/>
    <n v="92"/>
    <n v="76"/>
    <n v="20"/>
    <n v="0"/>
    <n v="24.2"/>
    <n v="1.698"/>
    <n v="28"/>
    <x v="1"/>
  </r>
  <r>
    <n v="6"/>
    <n v="183"/>
    <n v="94"/>
    <n v="0"/>
    <n v="0"/>
    <n v="40.799999999999997"/>
    <n v="1.4610000000000001"/>
    <n v="45"/>
    <x v="1"/>
  </r>
  <r>
    <n v="0"/>
    <n v="94"/>
    <n v="70"/>
    <n v="27"/>
    <n v="115"/>
    <n v="43.5"/>
    <n v="0.34699999999999998"/>
    <n v="21"/>
    <x v="1"/>
  </r>
  <r>
    <n v="2"/>
    <n v="108"/>
    <n v="64"/>
    <n v="0"/>
    <n v="0"/>
    <n v="30.8"/>
    <n v="0.158"/>
    <n v="21"/>
    <x v="1"/>
  </r>
  <r>
    <n v="4"/>
    <n v="90"/>
    <n v="88"/>
    <n v="47"/>
    <n v="54"/>
    <n v="37.700000000000003"/>
    <n v="0.36199999999999999"/>
    <n v="29"/>
    <x v="1"/>
  </r>
  <r>
    <n v="0"/>
    <n v="125"/>
    <n v="68"/>
    <n v="0"/>
    <n v="0"/>
    <n v="24.7"/>
    <n v="0.20599999999999999"/>
    <n v="21"/>
    <x v="1"/>
  </r>
  <r>
    <n v="0"/>
    <n v="132"/>
    <n v="78"/>
    <n v="0"/>
    <n v="0"/>
    <n v="32.4"/>
    <n v="0.39300000000000002"/>
    <n v="21"/>
    <x v="1"/>
  </r>
  <r>
    <n v="5"/>
    <n v="128"/>
    <n v="80"/>
    <n v="0"/>
    <n v="0"/>
    <n v="34.6"/>
    <n v="0.14399999999999999"/>
    <n v="45"/>
    <x v="1"/>
  </r>
  <r>
    <n v="4"/>
    <n v="94"/>
    <n v="65"/>
    <n v="22"/>
    <n v="0"/>
    <n v="24.7"/>
    <n v="0.14799999999999999"/>
    <n v="21"/>
    <x v="1"/>
  </r>
  <r>
    <n v="7"/>
    <n v="114"/>
    <n v="64"/>
    <n v="0"/>
    <n v="0"/>
    <n v="27.4"/>
    <n v="0.73199999999999998"/>
    <n v="34"/>
    <x v="0"/>
  </r>
  <r>
    <n v="0"/>
    <n v="102"/>
    <n v="78"/>
    <n v="40"/>
    <n v="90"/>
    <n v="34.5"/>
    <n v="0.23799999999999999"/>
    <n v="24"/>
    <x v="1"/>
  </r>
  <r>
    <n v="2"/>
    <n v="111"/>
    <n v="60"/>
    <n v="0"/>
    <n v="0"/>
    <n v="26.2"/>
    <n v="0.34300000000000003"/>
    <n v="23"/>
    <x v="1"/>
  </r>
  <r>
    <n v="1"/>
    <n v="128"/>
    <n v="82"/>
    <n v="17"/>
    <n v="183"/>
    <n v="27.5"/>
    <n v="0.115"/>
    <n v="22"/>
    <x v="1"/>
  </r>
  <r>
    <n v="10"/>
    <n v="92"/>
    <n v="62"/>
    <n v="0"/>
    <n v="0"/>
    <n v="25.9"/>
    <n v="0.16700000000000001"/>
    <n v="31"/>
    <x v="1"/>
  </r>
  <r>
    <n v="13"/>
    <n v="104"/>
    <n v="72"/>
    <n v="0"/>
    <n v="0"/>
    <n v="31.2"/>
    <n v="0.46500000000000002"/>
    <n v="38"/>
    <x v="0"/>
  </r>
  <r>
    <n v="5"/>
    <n v="104"/>
    <n v="74"/>
    <n v="0"/>
    <n v="0"/>
    <n v="28.8"/>
    <n v="0.153"/>
    <n v="48"/>
    <x v="1"/>
  </r>
  <r>
    <n v="2"/>
    <n v="94"/>
    <n v="76"/>
    <n v="18"/>
    <n v="66"/>
    <n v="31.6"/>
    <n v="0.64900000000000002"/>
    <n v="23"/>
    <x v="1"/>
  </r>
  <r>
    <n v="7"/>
    <n v="97"/>
    <n v="76"/>
    <n v="32"/>
    <n v="91"/>
    <n v="40.9"/>
    <n v="0.871"/>
    <n v="32"/>
    <x v="0"/>
  </r>
  <r>
    <n v="1"/>
    <n v="100"/>
    <n v="74"/>
    <n v="12"/>
    <n v="46"/>
    <n v="19.5"/>
    <n v="0.14899999999999999"/>
    <n v="28"/>
    <x v="1"/>
  </r>
  <r>
    <n v="0"/>
    <n v="102"/>
    <n v="86"/>
    <n v="17"/>
    <n v="105"/>
    <n v="29.3"/>
    <n v="0.69499999999999995"/>
    <n v="27"/>
    <x v="1"/>
  </r>
  <r>
    <n v="4"/>
    <n v="128"/>
    <n v="70"/>
    <n v="0"/>
    <n v="0"/>
    <n v="34.299999999999997"/>
    <n v="0.30299999999999999"/>
    <n v="24"/>
    <x v="1"/>
  </r>
  <r>
    <n v="6"/>
    <n v="147"/>
    <n v="80"/>
    <n v="0"/>
    <n v="0"/>
    <n v="29.5"/>
    <n v="0.17799999999999999"/>
    <n v="50"/>
    <x v="0"/>
  </r>
  <r>
    <n v="4"/>
    <n v="90"/>
    <n v="0"/>
    <n v="0"/>
    <n v="0"/>
    <n v="28"/>
    <n v="0.61"/>
    <n v="31"/>
    <x v="1"/>
  </r>
  <r>
    <n v="3"/>
    <n v="103"/>
    <n v="72"/>
    <n v="30"/>
    <n v="152"/>
    <n v="27.6"/>
    <n v="0.73"/>
    <n v="27"/>
    <x v="1"/>
  </r>
  <r>
    <n v="2"/>
    <n v="157"/>
    <n v="74"/>
    <n v="35"/>
    <n v="440"/>
    <n v="39.4"/>
    <n v="0.13400000000000001"/>
    <n v="30"/>
    <x v="1"/>
  </r>
  <r>
    <n v="1"/>
    <n v="167"/>
    <n v="74"/>
    <n v="17"/>
    <n v="144"/>
    <n v="23.4"/>
    <n v="0.44700000000000001"/>
    <n v="33"/>
    <x v="0"/>
  </r>
  <r>
    <n v="0"/>
    <n v="179"/>
    <n v="50"/>
    <n v="36"/>
    <n v="159"/>
    <n v="37.799999999999997"/>
    <n v="0.45500000000000002"/>
    <n v="22"/>
    <x v="0"/>
  </r>
  <r>
    <n v="11"/>
    <n v="136"/>
    <n v="84"/>
    <n v="35"/>
    <n v="130"/>
    <n v="28.3"/>
    <n v="0.26"/>
    <n v="42"/>
    <x v="0"/>
  </r>
  <r>
    <n v="0"/>
    <n v="107"/>
    <n v="60"/>
    <n v="25"/>
    <n v="0"/>
    <n v="26.4"/>
    <n v="0.13300000000000001"/>
    <n v="23"/>
    <x v="1"/>
  </r>
  <r>
    <n v="1"/>
    <n v="91"/>
    <n v="54"/>
    <n v="25"/>
    <n v="100"/>
    <n v="25.2"/>
    <n v="0.23400000000000001"/>
    <n v="23"/>
    <x v="1"/>
  </r>
  <r>
    <n v="1"/>
    <n v="117"/>
    <n v="60"/>
    <n v="23"/>
    <n v="106"/>
    <n v="33.799999999999997"/>
    <n v="0.46600000000000003"/>
    <n v="27"/>
    <x v="1"/>
  </r>
  <r>
    <n v="5"/>
    <n v="123"/>
    <n v="74"/>
    <n v="40"/>
    <n v="77"/>
    <n v="34.1"/>
    <n v="0.26900000000000002"/>
    <n v="28"/>
    <x v="1"/>
  </r>
  <r>
    <n v="2"/>
    <n v="120"/>
    <n v="54"/>
    <n v="0"/>
    <n v="0"/>
    <n v="26.8"/>
    <n v="0.45500000000000002"/>
    <n v="27"/>
    <x v="1"/>
  </r>
  <r>
    <n v="1"/>
    <n v="106"/>
    <n v="70"/>
    <n v="28"/>
    <n v="135"/>
    <n v="34.200000000000003"/>
    <n v="0.14199999999999999"/>
    <n v="22"/>
    <x v="1"/>
  </r>
  <r>
    <n v="2"/>
    <n v="155"/>
    <n v="52"/>
    <n v="27"/>
    <n v="540"/>
    <n v="38.700000000000003"/>
    <n v="0.24"/>
    <n v="25"/>
    <x v="0"/>
  </r>
  <r>
    <n v="2"/>
    <n v="101"/>
    <n v="58"/>
    <n v="35"/>
    <n v="90"/>
    <n v="21.8"/>
    <n v="0.155"/>
    <n v="22"/>
    <x v="1"/>
  </r>
  <r>
    <n v="1"/>
    <n v="120"/>
    <n v="80"/>
    <n v="48"/>
    <n v="200"/>
    <n v="38.9"/>
    <n v="1.1619999999999999"/>
    <n v="41"/>
    <x v="1"/>
  </r>
  <r>
    <n v="11"/>
    <n v="127"/>
    <n v="106"/>
    <n v="0"/>
    <n v="0"/>
    <n v="39"/>
    <n v="0.19"/>
    <n v="51"/>
    <x v="1"/>
  </r>
  <r>
    <n v="3"/>
    <n v="80"/>
    <n v="82"/>
    <n v="31"/>
    <n v="70"/>
    <n v="34.200000000000003"/>
    <n v="1.292"/>
    <n v="27"/>
    <x v="0"/>
  </r>
  <r>
    <n v="10"/>
    <n v="162"/>
    <n v="84"/>
    <n v="0"/>
    <n v="0"/>
    <n v="27.7"/>
    <n v="0.182"/>
    <n v="54"/>
    <x v="1"/>
  </r>
  <r>
    <n v="1"/>
    <n v="199"/>
    <n v="76"/>
    <n v="43"/>
    <n v="0"/>
    <n v="42.9"/>
    <n v="1.3939999999999999"/>
    <n v="22"/>
    <x v="0"/>
  </r>
  <r>
    <n v="8"/>
    <n v="167"/>
    <n v="106"/>
    <n v="46"/>
    <n v="231"/>
    <n v="37.6"/>
    <n v="0.16500000000000001"/>
    <n v="43"/>
    <x v="0"/>
  </r>
  <r>
    <n v="9"/>
    <n v="145"/>
    <n v="80"/>
    <n v="46"/>
    <n v="130"/>
    <n v="37.9"/>
    <n v="0.63700000000000001"/>
    <n v="40"/>
    <x v="0"/>
  </r>
  <r>
    <n v="6"/>
    <n v="115"/>
    <n v="60"/>
    <n v="39"/>
    <n v="0"/>
    <n v="33.700000000000003"/>
    <n v="0.245"/>
    <n v="40"/>
    <x v="0"/>
  </r>
  <r>
    <n v="1"/>
    <n v="112"/>
    <n v="80"/>
    <n v="45"/>
    <n v="132"/>
    <n v="34.799999999999997"/>
    <n v="0.217"/>
    <n v="24"/>
    <x v="1"/>
  </r>
  <r>
    <n v="4"/>
    <n v="145"/>
    <n v="82"/>
    <n v="18"/>
    <n v="0"/>
    <n v="32.5"/>
    <n v="0.23499999999999999"/>
    <n v="70"/>
    <x v="0"/>
  </r>
  <r>
    <n v="10"/>
    <n v="111"/>
    <n v="70"/>
    <n v="27"/>
    <n v="0"/>
    <n v="27.5"/>
    <n v="0.14099999999999999"/>
    <n v="40"/>
    <x v="0"/>
  </r>
  <r>
    <n v="6"/>
    <n v="98"/>
    <n v="58"/>
    <n v="33"/>
    <n v="190"/>
    <n v="34"/>
    <n v="0.43"/>
    <n v="43"/>
    <x v="1"/>
  </r>
  <r>
    <n v="9"/>
    <n v="154"/>
    <n v="78"/>
    <n v="30"/>
    <n v="100"/>
    <n v="30.9"/>
    <n v="0.16400000000000001"/>
    <n v="45"/>
    <x v="1"/>
  </r>
  <r>
    <n v="6"/>
    <n v="165"/>
    <n v="68"/>
    <n v="26"/>
    <n v="168"/>
    <n v="33.6"/>
    <n v="0.63100000000000001"/>
    <n v="49"/>
    <x v="1"/>
  </r>
  <r>
    <n v="1"/>
    <n v="99"/>
    <n v="58"/>
    <n v="10"/>
    <n v="0"/>
    <n v="25.4"/>
    <n v="0.55100000000000005"/>
    <n v="21"/>
    <x v="1"/>
  </r>
  <r>
    <n v="10"/>
    <n v="68"/>
    <n v="106"/>
    <n v="23"/>
    <n v="49"/>
    <n v="35.5"/>
    <n v="0.28499999999999998"/>
    <n v="47"/>
    <x v="1"/>
  </r>
  <r>
    <n v="3"/>
    <n v="123"/>
    <n v="100"/>
    <n v="35"/>
    <n v="240"/>
    <n v="57.3"/>
    <n v="0.88"/>
    <n v="22"/>
    <x v="1"/>
  </r>
  <r>
    <n v="8"/>
    <n v="91"/>
    <n v="82"/>
    <n v="0"/>
    <n v="0"/>
    <n v="35.6"/>
    <n v="0.58699999999999997"/>
    <n v="68"/>
    <x v="1"/>
  </r>
  <r>
    <n v="6"/>
    <n v="195"/>
    <n v="70"/>
    <n v="0"/>
    <n v="0"/>
    <n v="30.9"/>
    <n v="0.32800000000000001"/>
    <n v="31"/>
    <x v="0"/>
  </r>
  <r>
    <n v="9"/>
    <n v="156"/>
    <n v="86"/>
    <n v="0"/>
    <n v="0"/>
    <n v="24.8"/>
    <n v="0.23"/>
    <n v="53"/>
    <x v="0"/>
  </r>
  <r>
    <n v="0"/>
    <n v="93"/>
    <n v="60"/>
    <n v="0"/>
    <n v="0"/>
    <n v="35.299999999999997"/>
    <n v="0.26300000000000001"/>
    <n v="25"/>
    <x v="1"/>
  </r>
  <r>
    <n v="3"/>
    <n v="121"/>
    <n v="52"/>
    <n v="0"/>
    <n v="0"/>
    <n v="36"/>
    <n v="0.127"/>
    <n v="25"/>
    <x v="0"/>
  </r>
  <r>
    <n v="2"/>
    <n v="101"/>
    <n v="58"/>
    <n v="17"/>
    <n v="265"/>
    <n v="24.2"/>
    <n v="0.61399999999999999"/>
    <n v="23"/>
    <x v="1"/>
  </r>
  <r>
    <n v="2"/>
    <n v="56"/>
    <n v="56"/>
    <n v="28"/>
    <n v="45"/>
    <n v="24.2"/>
    <n v="0.33200000000000002"/>
    <n v="22"/>
    <x v="1"/>
  </r>
  <r>
    <n v="0"/>
    <n v="162"/>
    <n v="76"/>
    <n v="36"/>
    <n v="0"/>
    <n v="49.6"/>
    <n v="0.36399999999999999"/>
    <n v="26"/>
    <x v="0"/>
  </r>
  <r>
    <n v="0"/>
    <n v="95"/>
    <n v="64"/>
    <n v="39"/>
    <n v="105"/>
    <n v="44.6"/>
    <n v="0.36599999999999999"/>
    <n v="22"/>
    <x v="1"/>
  </r>
  <r>
    <n v="4"/>
    <n v="125"/>
    <n v="80"/>
    <n v="0"/>
    <n v="0"/>
    <n v="32.299999999999997"/>
    <n v="0.53600000000000003"/>
    <n v="27"/>
    <x v="0"/>
  </r>
  <r>
    <n v="5"/>
    <n v="136"/>
    <n v="82"/>
    <n v="0"/>
    <n v="0"/>
    <n v="0"/>
    <n v="0.64"/>
    <n v="69"/>
    <x v="1"/>
  </r>
  <r>
    <n v="2"/>
    <n v="129"/>
    <n v="74"/>
    <n v="26"/>
    <n v="205"/>
    <n v="33.200000000000003"/>
    <n v="0.59099999999999997"/>
    <n v="25"/>
    <x v="1"/>
  </r>
  <r>
    <n v="3"/>
    <n v="130"/>
    <n v="64"/>
    <n v="0"/>
    <n v="0"/>
    <n v="23.1"/>
    <n v="0.314"/>
    <n v="22"/>
    <x v="1"/>
  </r>
  <r>
    <n v="1"/>
    <n v="107"/>
    <n v="50"/>
    <n v="19"/>
    <n v="0"/>
    <n v="28.3"/>
    <n v="0.18099999999999999"/>
    <n v="29"/>
    <x v="1"/>
  </r>
  <r>
    <n v="1"/>
    <n v="140"/>
    <n v="74"/>
    <n v="26"/>
    <n v="180"/>
    <n v="24.1"/>
    <n v="0.82799999999999996"/>
    <n v="23"/>
    <x v="1"/>
  </r>
  <r>
    <n v="1"/>
    <n v="144"/>
    <n v="82"/>
    <n v="46"/>
    <n v="180"/>
    <n v="46.1"/>
    <n v="0.33500000000000002"/>
    <n v="46"/>
    <x v="0"/>
  </r>
  <r>
    <n v="8"/>
    <n v="107"/>
    <n v="80"/>
    <n v="0"/>
    <n v="0"/>
    <n v="24.6"/>
    <n v="0.85599999999999998"/>
    <n v="34"/>
    <x v="1"/>
  </r>
  <r>
    <n v="13"/>
    <n v="158"/>
    <n v="114"/>
    <n v="0"/>
    <n v="0"/>
    <n v="42.3"/>
    <n v="0.25700000000000001"/>
    <n v="44"/>
    <x v="0"/>
  </r>
  <r>
    <n v="2"/>
    <n v="121"/>
    <n v="70"/>
    <n v="32"/>
    <n v="95"/>
    <n v="39.1"/>
    <n v="0.88600000000000001"/>
    <n v="23"/>
    <x v="1"/>
  </r>
  <r>
    <n v="7"/>
    <n v="129"/>
    <n v="68"/>
    <n v="49"/>
    <n v="125"/>
    <n v="38.5"/>
    <n v="0.439"/>
    <n v="43"/>
    <x v="0"/>
  </r>
  <r>
    <n v="2"/>
    <n v="90"/>
    <n v="60"/>
    <n v="0"/>
    <n v="0"/>
    <n v="23.5"/>
    <n v="0.191"/>
    <n v="25"/>
    <x v="1"/>
  </r>
  <r>
    <n v="7"/>
    <n v="142"/>
    <n v="90"/>
    <n v="24"/>
    <n v="480"/>
    <n v="30.4"/>
    <n v="0.128"/>
    <n v="43"/>
    <x v="0"/>
  </r>
  <r>
    <n v="3"/>
    <n v="169"/>
    <n v="74"/>
    <n v="19"/>
    <n v="125"/>
    <n v="29.9"/>
    <n v="0.26800000000000002"/>
    <n v="31"/>
    <x v="0"/>
  </r>
  <r>
    <n v="0"/>
    <n v="99"/>
    <n v="0"/>
    <n v="0"/>
    <n v="0"/>
    <n v="25"/>
    <n v="0.253"/>
    <n v="22"/>
    <x v="1"/>
  </r>
  <r>
    <n v="4"/>
    <n v="127"/>
    <n v="88"/>
    <n v="11"/>
    <n v="155"/>
    <n v="34.5"/>
    <n v="0.59799999999999998"/>
    <n v="28"/>
    <x v="1"/>
  </r>
  <r>
    <n v="4"/>
    <n v="118"/>
    <n v="70"/>
    <n v="0"/>
    <n v="0"/>
    <n v="44.5"/>
    <n v="0.90400000000000003"/>
    <n v="26"/>
    <x v="1"/>
  </r>
  <r>
    <n v="2"/>
    <n v="122"/>
    <n v="76"/>
    <n v="27"/>
    <n v="200"/>
    <n v="35.9"/>
    <n v="0.48299999999999998"/>
    <n v="26"/>
    <x v="1"/>
  </r>
  <r>
    <n v="6"/>
    <n v="125"/>
    <n v="78"/>
    <n v="31"/>
    <n v="0"/>
    <n v="27.6"/>
    <n v="0.56499999999999995"/>
    <n v="49"/>
    <x v="0"/>
  </r>
  <r>
    <n v="1"/>
    <n v="168"/>
    <n v="88"/>
    <n v="29"/>
    <n v="0"/>
    <n v="35"/>
    <n v="0.90500000000000003"/>
    <n v="52"/>
    <x v="0"/>
  </r>
  <r>
    <n v="2"/>
    <n v="129"/>
    <n v="0"/>
    <n v="0"/>
    <n v="0"/>
    <n v="38.5"/>
    <n v="0.30399999999999999"/>
    <n v="41"/>
    <x v="1"/>
  </r>
  <r>
    <n v="4"/>
    <n v="110"/>
    <n v="76"/>
    <n v="20"/>
    <n v="100"/>
    <n v="28.4"/>
    <n v="0.11799999999999999"/>
    <n v="27"/>
    <x v="1"/>
  </r>
  <r>
    <n v="6"/>
    <n v="80"/>
    <n v="80"/>
    <n v="36"/>
    <n v="0"/>
    <n v="39.799999999999997"/>
    <n v="0.17699999999999999"/>
    <n v="28"/>
    <x v="1"/>
  </r>
  <r>
    <n v="10"/>
    <n v="115"/>
    <n v="0"/>
    <n v="0"/>
    <n v="0"/>
    <n v="0"/>
    <n v="0.26100000000000001"/>
    <n v="30"/>
    <x v="0"/>
  </r>
  <r>
    <n v="2"/>
    <n v="127"/>
    <n v="46"/>
    <n v="21"/>
    <n v="335"/>
    <n v="34.4"/>
    <n v="0.17599999999999999"/>
    <n v="22"/>
    <x v="1"/>
  </r>
  <r>
    <n v="9"/>
    <n v="164"/>
    <n v="78"/>
    <n v="0"/>
    <n v="0"/>
    <n v="32.799999999999997"/>
    <n v="0.14799999999999999"/>
    <n v="45"/>
    <x v="0"/>
  </r>
  <r>
    <n v="2"/>
    <n v="93"/>
    <n v="64"/>
    <n v="32"/>
    <n v="160"/>
    <n v="38"/>
    <n v="0.67400000000000004"/>
    <n v="23"/>
    <x v="0"/>
  </r>
  <r>
    <n v="3"/>
    <n v="158"/>
    <n v="64"/>
    <n v="13"/>
    <n v="387"/>
    <n v="31.2"/>
    <n v="0.29499999999999998"/>
    <n v="24"/>
    <x v="1"/>
  </r>
  <r>
    <n v="5"/>
    <n v="126"/>
    <n v="78"/>
    <n v="27"/>
    <n v="22"/>
    <n v="29.6"/>
    <n v="0.439"/>
    <n v="40"/>
    <x v="1"/>
  </r>
  <r>
    <n v="10"/>
    <n v="129"/>
    <n v="62"/>
    <n v="36"/>
    <n v="0"/>
    <n v="41.2"/>
    <n v="0.441"/>
    <n v="38"/>
    <x v="0"/>
  </r>
  <r>
    <n v="0"/>
    <n v="134"/>
    <n v="58"/>
    <n v="20"/>
    <n v="291"/>
    <n v="26.4"/>
    <n v="0.35199999999999998"/>
    <n v="21"/>
    <x v="1"/>
  </r>
  <r>
    <n v="3"/>
    <n v="102"/>
    <n v="74"/>
    <n v="0"/>
    <n v="0"/>
    <n v="29.5"/>
    <n v="0.121"/>
    <n v="32"/>
    <x v="1"/>
  </r>
  <r>
    <n v="7"/>
    <n v="187"/>
    <n v="50"/>
    <n v="33"/>
    <n v="392"/>
    <n v="33.9"/>
    <n v="0.82599999999999996"/>
    <n v="34"/>
    <x v="0"/>
  </r>
  <r>
    <n v="3"/>
    <n v="173"/>
    <n v="78"/>
    <n v="39"/>
    <n v="185"/>
    <n v="33.799999999999997"/>
    <n v="0.97"/>
    <n v="31"/>
    <x v="0"/>
  </r>
  <r>
    <n v="10"/>
    <n v="94"/>
    <n v="72"/>
    <n v="18"/>
    <n v="0"/>
    <n v="23.1"/>
    <n v="0.59499999999999997"/>
    <n v="56"/>
    <x v="1"/>
  </r>
  <r>
    <n v="1"/>
    <n v="108"/>
    <n v="60"/>
    <n v="46"/>
    <n v="178"/>
    <n v="35.5"/>
    <n v="0.41499999999999998"/>
    <n v="24"/>
    <x v="1"/>
  </r>
  <r>
    <n v="5"/>
    <n v="97"/>
    <n v="76"/>
    <n v="27"/>
    <n v="0"/>
    <n v="35.6"/>
    <n v="0.378"/>
    <n v="52"/>
    <x v="0"/>
  </r>
  <r>
    <n v="4"/>
    <n v="83"/>
    <n v="86"/>
    <n v="19"/>
    <n v="0"/>
    <n v="29.3"/>
    <n v="0.317"/>
    <n v="34"/>
    <x v="1"/>
  </r>
  <r>
    <n v="1"/>
    <n v="114"/>
    <n v="66"/>
    <n v="36"/>
    <n v="200"/>
    <n v="38.1"/>
    <n v="0.28899999999999998"/>
    <n v="21"/>
    <x v="1"/>
  </r>
  <r>
    <n v="1"/>
    <n v="149"/>
    <n v="68"/>
    <n v="29"/>
    <n v="127"/>
    <n v="29.3"/>
    <n v="0.34899999999999998"/>
    <n v="42"/>
    <x v="0"/>
  </r>
  <r>
    <n v="5"/>
    <n v="117"/>
    <n v="86"/>
    <n v="30"/>
    <n v="105"/>
    <n v="39.1"/>
    <n v="0.251"/>
    <n v="42"/>
    <x v="1"/>
  </r>
  <r>
    <n v="1"/>
    <n v="111"/>
    <n v="94"/>
    <n v="0"/>
    <n v="0"/>
    <n v="32.799999999999997"/>
    <n v="0.26500000000000001"/>
    <n v="45"/>
    <x v="1"/>
  </r>
  <r>
    <n v="4"/>
    <n v="112"/>
    <n v="78"/>
    <n v="40"/>
    <n v="0"/>
    <n v="39.4"/>
    <n v="0.23599999999999999"/>
    <n v="38"/>
    <x v="1"/>
  </r>
  <r>
    <n v="1"/>
    <n v="116"/>
    <n v="78"/>
    <n v="29"/>
    <n v="180"/>
    <n v="36.1"/>
    <n v="0.496"/>
    <n v="25"/>
    <x v="1"/>
  </r>
  <r>
    <n v="0"/>
    <n v="141"/>
    <n v="84"/>
    <n v="26"/>
    <n v="0"/>
    <n v="32.4"/>
    <n v="0.433"/>
    <n v="22"/>
    <x v="1"/>
  </r>
  <r>
    <n v="2"/>
    <n v="175"/>
    <n v="88"/>
    <n v="0"/>
    <n v="0"/>
    <n v="22.9"/>
    <n v="0.32600000000000001"/>
    <n v="22"/>
    <x v="1"/>
  </r>
  <r>
    <n v="2"/>
    <n v="92"/>
    <n v="52"/>
    <n v="0"/>
    <n v="0"/>
    <n v="30.1"/>
    <n v="0.14099999999999999"/>
    <n v="22"/>
    <x v="1"/>
  </r>
  <r>
    <n v="3"/>
    <n v="130"/>
    <n v="78"/>
    <n v="23"/>
    <n v="79"/>
    <n v="28.4"/>
    <n v="0.32300000000000001"/>
    <n v="34"/>
    <x v="0"/>
  </r>
  <r>
    <n v="8"/>
    <n v="120"/>
    <n v="86"/>
    <n v="0"/>
    <n v="0"/>
    <n v="28.4"/>
    <n v="0.25900000000000001"/>
    <n v="22"/>
    <x v="0"/>
  </r>
  <r>
    <n v="2"/>
    <n v="174"/>
    <n v="88"/>
    <n v="37"/>
    <n v="120"/>
    <n v="44.5"/>
    <n v="0.64600000000000002"/>
    <n v="24"/>
    <x v="0"/>
  </r>
  <r>
    <n v="2"/>
    <n v="106"/>
    <n v="56"/>
    <n v="27"/>
    <n v="165"/>
    <n v="29"/>
    <n v="0.42599999999999999"/>
    <n v="22"/>
    <x v="1"/>
  </r>
  <r>
    <n v="2"/>
    <n v="105"/>
    <n v="75"/>
    <n v="0"/>
    <n v="0"/>
    <n v="23.3"/>
    <n v="0.56000000000000005"/>
    <n v="53"/>
    <x v="1"/>
  </r>
  <r>
    <n v="4"/>
    <n v="95"/>
    <n v="60"/>
    <n v="32"/>
    <n v="0"/>
    <n v="35.4"/>
    <n v="0.28399999999999997"/>
    <n v="28"/>
    <x v="1"/>
  </r>
  <r>
    <n v="0"/>
    <n v="126"/>
    <n v="86"/>
    <n v="27"/>
    <n v="120"/>
    <n v="27.4"/>
    <n v="0.51500000000000001"/>
    <n v="21"/>
    <x v="1"/>
  </r>
  <r>
    <n v="8"/>
    <n v="65"/>
    <n v="72"/>
    <n v="23"/>
    <n v="0"/>
    <n v="32"/>
    <n v="0.6"/>
    <n v="42"/>
    <x v="1"/>
  </r>
  <r>
    <n v="2"/>
    <n v="99"/>
    <n v="60"/>
    <n v="17"/>
    <n v="160"/>
    <n v="36.6"/>
    <n v="0.45300000000000001"/>
    <n v="21"/>
    <x v="1"/>
  </r>
  <r>
    <n v="1"/>
    <n v="102"/>
    <n v="74"/>
    <n v="0"/>
    <n v="0"/>
    <n v="39.5"/>
    <n v="0.29299999999999998"/>
    <n v="42"/>
    <x v="0"/>
  </r>
  <r>
    <n v="11"/>
    <n v="120"/>
    <n v="80"/>
    <n v="37"/>
    <n v="150"/>
    <n v="42.3"/>
    <n v="0.78500000000000003"/>
    <n v="48"/>
    <x v="0"/>
  </r>
  <r>
    <n v="3"/>
    <n v="102"/>
    <n v="44"/>
    <n v="20"/>
    <n v="94"/>
    <n v="30.8"/>
    <n v="0.4"/>
    <n v="26"/>
    <x v="1"/>
  </r>
  <r>
    <n v="1"/>
    <n v="109"/>
    <n v="58"/>
    <n v="18"/>
    <n v="116"/>
    <n v="28.5"/>
    <n v="0.219"/>
    <n v="22"/>
    <x v="1"/>
  </r>
  <r>
    <n v="9"/>
    <n v="140"/>
    <n v="94"/>
    <n v="0"/>
    <n v="0"/>
    <n v="32.700000000000003"/>
    <n v="0.73399999999999999"/>
    <n v="45"/>
    <x v="0"/>
  </r>
  <r>
    <n v="13"/>
    <n v="153"/>
    <n v="88"/>
    <n v="37"/>
    <n v="140"/>
    <n v="40.6"/>
    <n v="1.1739999999999999"/>
    <n v="39"/>
    <x v="1"/>
  </r>
  <r>
    <n v="12"/>
    <n v="100"/>
    <n v="84"/>
    <n v="33"/>
    <n v="105"/>
    <n v="30"/>
    <n v="0.48799999999999999"/>
    <n v="46"/>
    <x v="1"/>
  </r>
  <r>
    <n v="1"/>
    <n v="147"/>
    <n v="94"/>
    <n v="41"/>
    <n v="0"/>
    <n v="49.3"/>
    <n v="0.35799999999999998"/>
    <n v="27"/>
    <x v="0"/>
  </r>
  <r>
    <n v="1"/>
    <n v="81"/>
    <n v="74"/>
    <n v="41"/>
    <n v="57"/>
    <n v="46.3"/>
    <n v="1.0960000000000001"/>
    <n v="32"/>
    <x v="1"/>
  </r>
  <r>
    <n v="3"/>
    <n v="187"/>
    <n v="70"/>
    <n v="22"/>
    <n v="200"/>
    <n v="36.4"/>
    <n v="0.40799999999999997"/>
    <n v="36"/>
    <x v="0"/>
  </r>
  <r>
    <n v="6"/>
    <n v="162"/>
    <n v="62"/>
    <n v="0"/>
    <n v="0"/>
    <n v="24.3"/>
    <n v="0.17799999999999999"/>
    <n v="50"/>
    <x v="0"/>
  </r>
  <r>
    <n v="4"/>
    <n v="136"/>
    <n v="70"/>
    <n v="0"/>
    <n v="0"/>
    <n v="31.2"/>
    <n v="1.1819999999999999"/>
    <n v="22"/>
    <x v="0"/>
  </r>
  <r>
    <n v="1"/>
    <n v="121"/>
    <n v="78"/>
    <n v="39"/>
    <n v="74"/>
    <n v="39"/>
    <n v="0.26100000000000001"/>
    <n v="28"/>
    <x v="1"/>
  </r>
  <r>
    <n v="3"/>
    <n v="108"/>
    <n v="62"/>
    <n v="24"/>
    <n v="0"/>
    <n v="26"/>
    <n v="0.223"/>
    <n v="25"/>
    <x v="1"/>
  </r>
  <r>
    <n v="0"/>
    <n v="181"/>
    <n v="88"/>
    <n v="44"/>
    <n v="510"/>
    <n v="43.3"/>
    <n v="0.222"/>
    <n v="26"/>
    <x v="0"/>
  </r>
  <r>
    <n v="8"/>
    <n v="154"/>
    <n v="78"/>
    <n v="32"/>
    <n v="0"/>
    <n v="32.4"/>
    <n v="0.443"/>
    <n v="45"/>
    <x v="0"/>
  </r>
  <r>
    <n v="1"/>
    <n v="128"/>
    <n v="88"/>
    <n v="39"/>
    <n v="110"/>
    <n v="36.5"/>
    <n v="1.0569999999999999"/>
    <n v="37"/>
    <x v="0"/>
  </r>
  <r>
    <n v="7"/>
    <n v="137"/>
    <n v="90"/>
    <n v="41"/>
    <n v="0"/>
    <n v="32"/>
    <n v="0.39100000000000001"/>
    <n v="39"/>
    <x v="1"/>
  </r>
  <r>
    <n v="0"/>
    <n v="123"/>
    <n v="72"/>
    <n v="0"/>
    <n v="0"/>
    <n v="36.299999999999997"/>
    <n v="0.25800000000000001"/>
    <n v="52"/>
    <x v="0"/>
  </r>
  <r>
    <n v="1"/>
    <n v="106"/>
    <n v="76"/>
    <n v="0"/>
    <n v="0"/>
    <n v="37.5"/>
    <n v="0.19700000000000001"/>
    <n v="26"/>
    <x v="1"/>
  </r>
  <r>
    <n v="6"/>
    <n v="190"/>
    <n v="92"/>
    <n v="0"/>
    <n v="0"/>
    <n v="35.5"/>
    <n v="0.27800000000000002"/>
    <n v="66"/>
    <x v="0"/>
  </r>
  <r>
    <n v="2"/>
    <n v="88"/>
    <n v="58"/>
    <n v="26"/>
    <n v="16"/>
    <n v="28.4"/>
    <n v="0.76600000000000001"/>
    <n v="22"/>
    <x v="1"/>
  </r>
  <r>
    <n v="9"/>
    <n v="170"/>
    <n v="74"/>
    <n v="31"/>
    <n v="0"/>
    <n v="44"/>
    <n v="0.40300000000000002"/>
    <n v="43"/>
    <x v="0"/>
  </r>
  <r>
    <n v="9"/>
    <n v="89"/>
    <n v="62"/>
    <n v="0"/>
    <n v="0"/>
    <n v="22.5"/>
    <n v="0.14199999999999999"/>
    <n v="33"/>
    <x v="1"/>
  </r>
  <r>
    <n v="10"/>
    <n v="101"/>
    <n v="76"/>
    <n v="48"/>
    <n v="180"/>
    <n v="32.9"/>
    <n v="0.17100000000000001"/>
    <n v="63"/>
    <x v="1"/>
  </r>
  <r>
    <n v="2"/>
    <n v="122"/>
    <n v="70"/>
    <n v="27"/>
    <n v="0"/>
    <n v="36.799999999999997"/>
    <n v="0.34"/>
    <n v="27"/>
    <x v="1"/>
  </r>
  <r>
    <n v="5"/>
    <n v="121"/>
    <n v="72"/>
    <n v="23"/>
    <n v="112"/>
    <n v="26.2"/>
    <n v="0.245"/>
    <n v="30"/>
    <x v="1"/>
  </r>
  <r>
    <n v="1"/>
    <n v="126"/>
    <n v="60"/>
    <n v="0"/>
    <n v="0"/>
    <n v="30.1"/>
    <n v="0.34899999999999998"/>
    <n v="47"/>
    <x v="0"/>
  </r>
  <r>
    <n v="1"/>
    <n v="93"/>
    <n v="70"/>
    <n v="31"/>
    <n v="0"/>
    <n v="30.4"/>
    <n v="0.315"/>
    <n v="2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8DEDF-685D-4B36-A068-F6104321AA9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6" firstHeaderRow="0" firstDataRow="1" firstDataCol="1"/>
  <pivotFields count="9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tdDev of Pregnancies" fld="0" subtotal="stdDev" baseField="8" baseItem="0"/>
    <dataField name="StdDev of Glucose" fld="1" subtotal="stdDev" baseField="8" baseItem="0"/>
    <dataField name="StdDev of BloodPressure" fld="2" subtotal="stdDev" baseField="8" baseItem="0"/>
    <dataField name="StdDev of SkinThickness" fld="3" subtotal="stdDev" baseField="8" baseItem="0"/>
    <dataField name="StdDev of Insulin" fld="4" subtotal="stdDev" baseField="8" baseItem="0"/>
    <dataField name="StdDev of BMI" fld="5" subtotal="stdDev" baseField="8" baseItem="0"/>
    <dataField name="StdDev of DiabetesPedigreeFunction" fld="6" subtotal="stdDev" baseField="8" baseItem="0"/>
    <dataField name="StdDev of Age" fld="7" subtotal="stdDev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78BB-34F9-4A49-B53B-EE62C5C2D5FA}">
  <sheetPr filterMode="1"/>
  <dimension ref="A1:Y698"/>
  <sheetViews>
    <sheetView tabSelected="1" workbookViewId="0">
      <selection activeCell="N6" sqref="N6"/>
    </sheetView>
  </sheetViews>
  <sheetFormatPr defaultRowHeight="14.4" x14ac:dyDescent="0.3"/>
  <cols>
    <col min="10" max="10" width="12" bestFit="1" customWidth="1"/>
    <col min="11" max="11" width="11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</v>
      </c>
      <c r="K1" t="s">
        <v>29</v>
      </c>
      <c r="Q1" t="s">
        <v>27</v>
      </c>
      <c r="R1">
        <v>241</v>
      </c>
      <c r="S1">
        <f>R1/768</f>
        <v>0.31380208333333331</v>
      </c>
    </row>
    <row r="2" spans="1:25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  <c r="J2">
        <f>$S$1*_xlfn.NORM.DIST(A2,$R$6,$R$10,FALSE)*_xlfn.NORM.DIST(B2,$S$6,$S$10,FALSE)*_xlfn.NORM.DIST(C2,$T$6,$T$10,FALSE)*_xlfn.NORM.DIST(D2,$U$6,$U$10,FALSE)*_xlfn.NORM.DIST(E2,$V$6,$V$10,FALSE)*_xlfn.NORM.DIST(F2,$W$6,$W$10,FALSE)*_xlfn.NORM.DIST(G2,$X$6,$X$10,FALSE)*_xlfn.NORM.DIST(H2,$Y$6,$Y$10,FALSE)</f>
        <v>2.8400656321089722E-13</v>
      </c>
      <c r="K2">
        <f>$S$2*_xlfn.NORM.DIST(A2,$R$5,$R$9,FALSE)*_xlfn.NORM.DIST(B2,$S$5,$S$9,FALSE)*_xlfn.NORM.DIST(C2,$T$5,$T$9,FALSE)*_xlfn.NORM.DIST(D2,$U$5,$U$9,FALSE)*_xlfn.NORM.DIST(E2,$V$5,$V$9,FALSE)*_xlfn.NORM.DIST(F2,$W$5,$W$9,FALSE)*_xlfn.NORM.DIST(G2,$X$5,$X$9,FALSE)*_xlfn.NORM.DIST(H2,$Y$5,$Y$9,FALSE)</f>
        <v>1.4321760556335871E-13</v>
      </c>
      <c r="L2">
        <f>IF(J2&gt;K2,1,0)</f>
        <v>1</v>
      </c>
      <c r="M2" t="str">
        <f>IF(I2=L2,"right","no")</f>
        <v>right</v>
      </c>
      <c r="N2" t="s">
        <v>30</v>
      </c>
      <c r="O2">
        <v>512</v>
      </c>
      <c r="R2">
        <f>700-R1</f>
        <v>459</v>
      </c>
      <c r="S2">
        <f>R2/768</f>
        <v>0.59765625</v>
      </c>
    </row>
    <row r="3" spans="1:25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  <c r="J3">
        <f t="shared" ref="J3:J66" si="0">$S$1*_xlfn.NORM.DIST(A3,$R$6,$R$10,FALSE)*_xlfn.NORM.DIST(B3,$S$6,$S$10,FALSE)*_xlfn.NORM.DIST(C3,$T$6,$T$10,FALSE)*_xlfn.NORM.DIST(D3,$U$6,$U$10,FALSE)*_xlfn.NORM.DIST(E3,$V$6,$V$10,FALSE)*_xlfn.NORM.DIST(F3,$W$6,$W$10,FALSE)*_xlfn.NORM.DIST(G3,$X$6,$X$10,FALSE)*_xlfn.NORM.DIST(H3,$Y$6,$Y$10,FALSE)</f>
        <v>3.4740959602653365E-14</v>
      </c>
      <c r="K3">
        <f t="shared" ref="K3:K66" si="1">$S$2*_xlfn.NORM.DIST(A3,$R$5,$R$9,FALSE)*_xlfn.NORM.DIST(B3,$S$5,$S$9,FALSE)*_xlfn.NORM.DIST(C3,$T$5,$T$9,FALSE)*_xlfn.NORM.DIST(D3,$U$5,$U$9,FALSE)*_xlfn.NORM.DIST(E3,$V$5,$V$9,FALSE)*_xlfn.NORM.DIST(F3,$W$5,$W$9,FALSE)*_xlfn.NORM.DIST(G3,$X$5,$X$9,FALSE)*_xlfn.NORM.DIST(H3,$Y$5,$Y$9,FALSE)</f>
        <v>1.7781271960562426E-12</v>
      </c>
      <c r="L3">
        <f t="shared" ref="L3:L66" si="2">IF(J3&gt;K3,1,0)</f>
        <v>0</v>
      </c>
      <c r="M3" t="str">
        <f t="shared" ref="M3:M66" si="3">IF(I3=L3,"right","no")</f>
        <v>right</v>
      </c>
      <c r="N3" t="s">
        <v>31</v>
      </c>
      <c r="O3">
        <f>675-O2</f>
        <v>163</v>
      </c>
    </row>
    <row r="4" spans="1:25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  <c r="J4">
        <f t="shared" si="0"/>
        <v>2.430386200133883E-14</v>
      </c>
      <c r="K4">
        <f t="shared" si="1"/>
        <v>6.2022255096416819E-15</v>
      </c>
      <c r="L4">
        <f t="shared" si="2"/>
        <v>1</v>
      </c>
      <c r="M4" t="str">
        <f t="shared" si="3"/>
        <v>right</v>
      </c>
      <c r="Q4" s="3" t="s">
        <v>9</v>
      </c>
      <c r="R4" s="3" t="s">
        <v>11</v>
      </c>
      <c r="S4" s="3" t="s">
        <v>12</v>
      </c>
      <c r="T4" s="3" t="s">
        <v>18</v>
      </c>
      <c r="U4" s="3" t="s">
        <v>17</v>
      </c>
      <c r="V4" s="3" t="s">
        <v>16</v>
      </c>
      <c r="W4" s="3" t="s">
        <v>15</v>
      </c>
      <c r="X4" s="3" t="s">
        <v>14</v>
      </c>
      <c r="Y4" s="3" t="s">
        <v>13</v>
      </c>
    </row>
    <row r="5" spans="1:25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J5">
        <f t="shared" si="0"/>
        <v>2.0282111567815366E-14</v>
      </c>
      <c r="K5">
        <f t="shared" si="1"/>
        <v>1.5428224823646589E-12</v>
      </c>
      <c r="L5">
        <f t="shared" si="2"/>
        <v>0</v>
      </c>
      <c r="M5" t="str">
        <f t="shared" si="3"/>
        <v>right</v>
      </c>
      <c r="N5">
        <f>O3/675*100</f>
        <v>24.148148148148149</v>
      </c>
      <c r="O5">
        <f>100-N5</f>
        <v>75.851851851851848</v>
      </c>
      <c r="Q5" s="2">
        <v>0</v>
      </c>
      <c r="R5">
        <v>3.298</v>
      </c>
      <c r="S5">
        <v>109.98</v>
      </c>
      <c r="T5">
        <v>68.183999999999997</v>
      </c>
      <c r="U5">
        <v>19.664000000000001</v>
      </c>
      <c r="V5">
        <v>68.792000000000002</v>
      </c>
      <c r="W5">
        <v>30.304199999999959</v>
      </c>
      <c r="X5">
        <v>0.42973400000000017</v>
      </c>
      <c r="Y5">
        <v>31.19</v>
      </c>
    </row>
    <row r="6" spans="1:25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J6">
        <f t="shared" si="0"/>
        <v>1.0713860058404829E-18</v>
      </c>
      <c r="K6">
        <f t="shared" si="1"/>
        <v>2.3723296113823735E-22</v>
      </c>
      <c r="L6">
        <f t="shared" si="2"/>
        <v>1</v>
      </c>
      <c r="M6" t="str">
        <f t="shared" si="3"/>
        <v>right</v>
      </c>
      <c r="Q6" s="2">
        <v>1</v>
      </c>
      <c r="R6">
        <v>4.8656716417910451</v>
      </c>
      <c r="S6">
        <v>141.25746268656715</v>
      </c>
      <c r="T6">
        <v>70.824626865671647</v>
      </c>
      <c r="U6">
        <v>22.164179104477611</v>
      </c>
      <c r="V6">
        <v>100.33582089552239</v>
      </c>
      <c r="W6">
        <v>35.142537313432783</v>
      </c>
      <c r="X6">
        <v>0.55049999999999999</v>
      </c>
      <c r="Y6">
        <v>37.067164179104481</v>
      </c>
    </row>
    <row r="7" spans="1:25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  <c r="J7">
        <f t="shared" si="0"/>
        <v>6.0331359085249858E-14</v>
      </c>
      <c r="K7">
        <f t="shared" si="1"/>
        <v>1.0861167787076373E-12</v>
      </c>
      <c r="L7">
        <f t="shared" si="2"/>
        <v>0</v>
      </c>
      <c r="M7" t="str">
        <f t="shared" si="3"/>
        <v>right</v>
      </c>
      <c r="Q7" s="2">
        <v>0</v>
      </c>
      <c r="R7">
        <v>3.0171845826218893</v>
      </c>
      <c r="S7">
        <v>26.141199755353583</v>
      </c>
      <c r="T7">
        <v>18.063075413305839</v>
      </c>
      <c r="U7">
        <v>14.889947113744233</v>
      </c>
      <c r="V7">
        <v>98.865289292317883</v>
      </c>
      <c r="W7">
        <v>7.689855011650284</v>
      </c>
      <c r="X7">
        <v>0.29908530435741093</v>
      </c>
      <c r="Y7">
        <v>11.667654791631152</v>
      </c>
    </row>
    <row r="8" spans="1:25" hidden="1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J8">
        <f t="shared" si="0"/>
        <v>2.6241672297264151E-14</v>
      </c>
      <c r="K8">
        <f t="shared" si="1"/>
        <v>1.0093792907546817E-12</v>
      </c>
      <c r="L8">
        <f t="shared" si="2"/>
        <v>0</v>
      </c>
      <c r="M8" t="str">
        <f t="shared" si="3"/>
        <v>no</v>
      </c>
      <c r="Q8" s="3" t="s">
        <v>9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</row>
    <row r="9" spans="1:25" hidden="1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  <c r="J9">
        <f t="shared" si="0"/>
        <v>1.8814679962858508E-16</v>
      </c>
      <c r="K9">
        <f t="shared" si="1"/>
        <v>7.3178863326535468E-17</v>
      </c>
      <c r="L9">
        <f t="shared" si="2"/>
        <v>1</v>
      </c>
      <c r="M9" t="str">
        <f t="shared" si="3"/>
        <v>no</v>
      </c>
      <c r="Q9" s="2">
        <v>0</v>
      </c>
      <c r="R9">
        <v>3.0171845826218893</v>
      </c>
      <c r="S9">
        <v>26.141199755353583</v>
      </c>
      <c r="T9">
        <v>18.063075413305839</v>
      </c>
      <c r="U9">
        <v>14.889947113744233</v>
      </c>
      <c r="V9">
        <v>98.865289292317883</v>
      </c>
      <c r="W9">
        <v>7.689855011650284</v>
      </c>
      <c r="X9">
        <v>0.29908530435741093</v>
      </c>
      <c r="Y9">
        <v>11.667654791631152</v>
      </c>
    </row>
    <row r="10" spans="1:25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J10">
        <f t="shared" si="0"/>
        <v>7.5999021147712073E-17</v>
      </c>
      <c r="K10">
        <f t="shared" si="1"/>
        <v>6.6391303919821521E-21</v>
      </c>
      <c r="L10">
        <f t="shared" si="2"/>
        <v>1</v>
      </c>
      <c r="M10" t="str">
        <f t="shared" si="3"/>
        <v>right</v>
      </c>
      <c r="Q10" s="2">
        <v>1</v>
      </c>
      <c r="R10">
        <v>3.7412390440415546</v>
      </c>
      <c r="S10">
        <v>31.939622058007224</v>
      </c>
      <c r="T10">
        <v>21.491811650604134</v>
      </c>
      <c r="U10">
        <v>17.679711400465692</v>
      </c>
      <c r="V10">
        <v>138.68912473153497</v>
      </c>
      <c r="W10">
        <v>7.2629672423466172</v>
      </c>
      <c r="X10">
        <v>0.37235448355461076</v>
      </c>
      <c r="Y10">
        <v>10.96825365236791</v>
      </c>
    </row>
    <row r="11" spans="1:25" hidden="1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  <c r="J11">
        <f t="shared" si="0"/>
        <v>2.0453824662517664E-19</v>
      </c>
      <c r="K11">
        <f t="shared" si="1"/>
        <v>8.6778530583372551E-18</v>
      </c>
      <c r="L11">
        <f t="shared" si="2"/>
        <v>0</v>
      </c>
      <c r="M11" t="str">
        <f t="shared" si="3"/>
        <v>no</v>
      </c>
    </row>
    <row r="12" spans="1:25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  <c r="J12">
        <f t="shared" si="0"/>
        <v>6.7583607500614073E-14</v>
      </c>
      <c r="K12">
        <f t="shared" si="1"/>
        <v>4.2092743570410652E-13</v>
      </c>
      <c r="L12">
        <f t="shared" si="2"/>
        <v>0</v>
      </c>
      <c r="M12" t="str">
        <f t="shared" si="3"/>
        <v>right</v>
      </c>
    </row>
    <row r="13" spans="1:25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  <c r="J13">
        <f t="shared" si="0"/>
        <v>9.1378725637318422E-14</v>
      </c>
      <c r="K13">
        <f t="shared" si="1"/>
        <v>8.4702895038390633E-15</v>
      </c>
      <c r="L13">
        <f t="shared" si="2"/>
        <v>1</v>
      </c>
      <c r="M13" t="str">
        <f t="shared" si="3"/>
        <v>right</v>
      </c>
    </row>
    <row r="14" spans="1:25" hidden="1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  <c r="J14">
        <f t="shared" si="0"/>
        <v>7.9917061021966041E-16</v>
      </c>
      <c r="K14">
        <f t="shared" si="1"/>
        <v>2.1615533990441393E-17</v>
      </c>
      <c r="L14">
        <f t="shared" si="2"/>
        <v>1</v>
      </c>
      <c r="M14" t="str">
        <f t="shared" si="3"/>
        <v>no</v>
      </c>
    </row>
    <row r="15" spans="1:25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  <c r="J15">
        <f t="shared" si="0"/>
        <v>9.4093086851424373E-21</v>
      </c>
      <c r="K15">
        <f t="shared" si="1"/>
        <v>1.027747024166786E-28</v>
      </c>
      <c r="L15">
        <f t="shared" si="2"/>
        <v>1</v>
      </c>
      <c r="M15" t="str">
        <f t="shared" si="3"/>
        <v>right</v>
      </c>
    </row>
    <row r="16" spans="1:25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  <c r="J16">
        <f t="shared" si="0"/>
        <v>1.3172851223901559E-13</v>
      </c>
      <c r="K16">
        <f t="shared" si="1"/>
        <v>5.5696548861655925E-14</v>
      </c>
      <c r="L16">
        <f t="shared" si="2"/>
        <v>1</v>
      </c>
      <c r="M16" t="str">
        <f t="shared" si="3"/>
        <v>right</v>
      </c>
    </row>
    <row r="17" spans="1:13" hidden="1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  <c r="J17">
        <f t="shared" si="0"/>
        <v>4.2106545832366198E-16</v>
      </c>
      <c r="K17">
        <f t="shared" si="1"/>
        <v>7.7326689489858691E-16</v>
      </c>
      <c r="L17">
        <f t="shared" si="2"/>
        <v>0</v>
      </c>
      <c r="M17" t="str">
        <f t="shared" si="3"/>
        <v>no</v>
      </c>
    </row>
    <row r="18" spans="1:13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  <c r="J18">
        <f t="shared" si="0"/>
        <v>2.0712871792090891E-14</v>
      </c>
      <c r="K18">
        <f t="shared" si="1"/>
        <v>1.446360569048173E-14</v>
      </c>
      <c r="L18">
        <f t="shared" si="2"/>
        <v>1</v>
      </c>
      <c r="M18" t="str">
        <f t="shared" si="3"/>
        <v>right</v>
      </c>
    </row>
    <row r="19" spans="1:13" hidden="1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  <c r="J19">
        <f t="shared" si="0"/>
        <v>8.3532614487160088E-14</v>
      </c>
      <c r="K19">
        <f t="shared" si="1"/>
        <v>8.3261429872778247E-13</v>
      </c>
      <c r="L19">
        <f t="shared" si="2"/>
        <v>0</v>
      </c>
      <c r="M19" t="str">
        <f t="shared" si="3"/>
        <v>no</v>
      </c>
    </row>
    <row r="20" spans="1:13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  <c r="J20">
        <f t="shared" si="0"/>
        <v>1.0298412089178336E-14</v>
      </c>
      <c r="K20">
        <f t="shared" si="1"/>
        <v>4.1171796058896199E-14</v>
      </c>
      <c r="L20">
        <f t="shared" si="2"/>
        <v>0</v>
      </c>
      <c r="M20" t="str">
        <f t="shared" si="3"/>
        <v>right</v>
      </c>
    </row>
    <row r="21" spans="1:13" hidden="1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  <c r="J21">
        <f t="shared" si="0"/>
        <v>3.6520301619186068E-13</v>
      </c>
      <c r="K21">
        <f t="shared" si="1"/>
        <v>3.0436829351849451E-12</v>
      </c>
      <c r="L21">
        <f t="shared" si="2"/>
        <v>0</v>
      </c>
      <c r="M21" t="str">
        <f t="shared" si="3"/>
        <v>no</v>
      </c>
    </row>
    <row r="22" spans="1:13" hidden="1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  <c r="J22">
        <f t="shared" si="0"/>
        <v>1.1172987051285813E-13</v>
      </c>
      <c r="K22">
        <f t="shared" si="1"/>
        <v>8.3372803588848778E-14</v>
      </c>
      <c r="L22">
        <f t="shared" si="2"/>
        <v>1</v>
      </c>
      <c r="M22" t="str">
        <f t="shared" si="3"/>
        <v>no</v>
      </c>
    </row>
    <row r="23" spans="1:13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  <c r="J23">
        <f t="shared" si="0"/>
        <v>4.1687751753604968E-14</v>
      </c>
      <c r="K23">
        <f t="shared" si="1"/>
        <v>8.9828879854434647E-14</v>
      </c>
      <c r="L23">
        <f t="shared" si="2"/>
        <v>0</v>
      </c>
      <c r="M23" t="str">
        <f t="shared" si="3"/>
        <v>right</v>
      </c>
    </row>
    <row r="24" spans="1:13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  <c r="J24">
        <f t="shared" si="0"/>
        <v>3.6603523005885678E-14</v>
      </c>
      <c r="K24">
        <f t="shared" si="1"/>
        <v>7.3940536735711319E-16</v>
      </c>
      <c r="L24">
        <f t="shared" si="2"/>
        <v>1</v>
      </c>
      <c r="M24" t="str">
        <f t="shared" si="3"/>
        <v>right</v>
      </c>
    </row>
    <row r="25" spans="1:13" hidden="1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  <c r="J25">
        <f t="shared" si="0"/>
        <v>9.8182824277930553E-14</v>
      </c>
      <c r="K25">
        <f t="shared" si="1"/>
        <v>3.328095210075631E-13</v>
      </c>
      <c r="L25">
        <f t="shared" si="2"/>
        <v>0</v>
      </c>
      <c r="M25" t="str">
        <f t="shared" si="3"/>
        <v>no</v>
      </c>
    </row>
    <row r="26" spans="1:13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J26">
        <f t="shared" si="0"/>
        <v>3.9239066473766291E-14</v>
      </c>
      <c r="K26">
        <f t="shared" si="1"/>
        <v>2.9870425011994536E-15</v>
      </c>
      <c r="L26">
        <f t="shared" si="2"/>
        <v>1</v>
      </c>
      <c r="M26" t="str">
        <f t="shared" si="3"/>
        <v>right</v>
      </c>
    </row>
    <row r="27" spans="1:13" hidden="1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  <c r="J27">
        <f t="shared" si="0"/>
        <v>1.8717530886043109E-13</v>
      </c>
      <c r="K27">
        <f t="shared" si="1"/>
        <v>2.1032415175486466E-13</v>
      </c>
      <c r="L27">
        <f t="shared" si="2"/>
        <v>0</v>
      </c>
      <c r="M27" t="str">
        <f t="shared" si="3"/>
        <v>no</v>
      </c>
    </row>
    <row r="28" spans="1:13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  <c r="J28">
        <f t="shared" si="0"/>
        <v>1.6380072404627149E-13</v>
      </c>
      <c r="K28">
        <f t="shared" si="1"/>
        <v>8.8667122547298938E-14</v>
      </c>
      <c r="L28">
        <f t="shared" si="2"/>
        <v>1</v>
      </c>
      <c r="M28" t="str">
        <f t="shared" si="3"/>
        <v>right</v>
      </c>
    </row>
    <row r="29" spans="1:13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  <c r="J29">
        <f t="shared" si="0"/>
        <v>2.0714214722810897E-14</v>
      </c>
      <c r="K29">
        <f t="shared" si="1"/>
        <v>1.5443351464284588E-12</v>
      </c>
      <c r="L29">
        <f t="shared" si="2"/>
        <v>0</v>
      </c>
      <c r="M29" t="str">
        <f t="shared" si="3"/>
        <v>right</v>
      </c>
    </row>
    <row r="30" spans="1:13" hidden="1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  <c r="J30">
        <f t="shared" si="0"/>
        <v>2.4181697535631033E-15</v>
      </c>
      <c r="K30">
        <f t="shared" si="1"/>
        <v>4.4318000372164285E-16</v>
      </c>
      <c r="L30">
        <f t="shared" si="2"/>
        <v>1</v>
      </c>
      <c r="M30" t="str">
        <f t="shared" si="3"/>
        <v>no</v>
      </c>
    </row>
    <row r="31" spans="1:13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  <c r="J31">
        <f t="shared" si="0"/>
        <v>1.458462160327239E-13</v>
      </c>
      <c r="K31">
        <f t="shared" si="1"/>
        <v>5.4893577483847892E-13</v>
      </c>
      <c r="L31">
        <f t="shared" si="2"/>
        <v>0</v>
      </c>
      <c r="M31" t="str">
        <f t="shared" si="3"/>
        <v>right</v>
      </c>
    </row>
    <row r="32" spans="1:13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  <c r="J32">
        <f t="shared" si="0"/>
        <v>5.3261284694573676E-14</v>
      </c>
      <c r="K32">
        <f t="shared" si="1"/>
        <v>1.2962850795076674E-13</v>
      </c>
      <c r="L32">
        <f t="shared" si="2"/>
        <v>0</v>
      </c>
      <c r="M32" t="str">
        <f t="shared" si="3"/>
        <v>right</v>
      </c>
    </row>
    <row r="33" spans="1:13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  <c r="J33">
        <f t="shared" si="0"/>
        <v>1.5689224936484758E-13</v>
      </c>
      <c r="K33">
        <f t="shared" si="1"/>
        <v>4.5030261247741731E-14</v>
      </c>
      <c r="L33">
        <f t="shared" si="2"/>
        <v>1</v>
      </c>
      <c r="M33" t="str">
        <f t="shared" si="3"/>
        <v>right</v>
      </c>
    </row>
    <row r="34" spans="1:13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  <c r="J34">
        <f t="shared" si="0"/>
        <v>1.6244842627271017E-14</v>
      </c>
      <c r="K34">
        <f t="shared" si="1"/>
        <v>1.6599042253206707E-12</v>
      </c>
      <c r="L34">
        <f t="shared" si="2"/>
        <v>0</v>
      </c>
      <c r="M34" t="str">
        <f t="shared" si="3"/>
        <v>right</v>
      </c>
    </row>
    <row r="35" spans="1:13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  <c r="J35">
        <f t="shared" si="0"/>
        <v>3.3100427295510265E-15</v>
      </c>
      <c r="K35">
        <f t="shared" si="1"/>
        <v>1.3790466120461546E-13</v>
      </c>
      <c r="L35">
        <f t="shared" si="2"/>
        <v>0</v>
      </c>
      <c r="M35" t="str">
        <f t="shared" si="3"/>
        <v>right</v>
      </c>
    </row>
    <row r="36" spans="1:13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  <c r="J36">
        <f t="shared" si="0"/>
        <v>1.0057552597409268E-13</v>
      </c>
      <c r="K36">
        <f t="shared" si="1"/>
        <v>1.1842300617254237E-13</v>
      </c>
      <c r="L36">
        <f t="shared" si="2"/>
        <v>0</v>
      </c>
      <c r="M36" t="str">
        <f t="shared" si="3"/>
        <v>right</v>
      </c>
    </row>
    <row r="37" spans="1:13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  <c r="J37">
        <f t="shared" si="0"/>
        <v>4.6406142950300092E-14</v>
      </c>
      <c r="K37">
        <f t="shared" si="1"/>
        <v>2.5168399126176042E-13</v>
      </c>
      <c r="L37">
        <f t="shared" si="2"/>
        <v>0</v>
      </c>
      <c r="M37" t="str">
        <f t="shared" si="3"/>
        <v>right</v>
      </c>
    </row>
    <row r="38" spans="1:13" hidden="1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  <c r="J38">
        <f t="shared" si="0"/>
        <v>8.4937896678444615E-14</v>
      </c>
      <c r="K38">
        <f t="shared" si="1"/>
        <v>3.8923309782719065E-14</v>
      </c>
      <c r="L38">
        <f t="shared" si="2"/>
        <v>1</v>
      </c>
      <c r="M38" t="str">
        <f t="shared" si="3"/>
        <v>no</v>
      </c>
    </row>
    <row r="39" spans="1:13" hidden="1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  <c r="J39">
        <f t="shared" si="0"/>
        <v>9.4395040043441753E-14</v>
      </c>
      <c r="K39">
        <f t="shared" si="1"/>
        <v>1.2259993123286929E-13</v>
      </c>
      <c r="L39">
        <f t="shared" si="2"/>
        <v>0</v>
      </c>
      <c r="M39" t="str">
        <f t="shared" si="3"/>
        <v>no</v>
      </c>
    </row>
    <row r="40" spans="1:13" hidden="1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  <c r="J40">
        <f t="shared" si="0"/>
        <v>5.3733264587759095E-14</v>
      </c>
      <c r="K40">
        <f t="shared" si="1"/>
        <v>6.3472611607243801E-13</v>
      </c>
      <c r="L40">
        <f t="shared" si="2"/>
        <v>0</v>
      </c>
      <c r="M40" t="str">
        <f t="shared" si="3"/>
        <v>no</v>
      </c>
    </row>
    <row r="41" spans="1:13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  <c r="J41">
        <f t="shared" si="0"/>
        <v>3.1763311268531197E-15</v>
      </c>
      <c r="K41">
        <f t="shared" si="1"/>
        <v>1.8428407854806555E-16</v>
      </c>
      <c r="L41">
        <f t="shared" si="2"/>
        <v>1</v>
      </c>
      <c r="M41" t="str">
        <f t="shared" si="3"/>
        <v>right</v>
      </c>
    </row>
    <row r="42" spans="1:13" hidden="1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  <c r="J42">
        <f t="shared" si="0"/>
        <v>1.8724711929535882E-13</v>
      </c>
      <c r="K42">
        <f t="shared" si="1"/>
        <v>1.2008095443203321E-13</v>
      </c>
      <c r="L42">
        <f t="shared" si="2"/>
        <v>1</v>
      </c>
      <c r="M42" t="str">
        <f t="shared" si="3"/>
        <v>no</v>
      </c>
    </row>
    <row r="43" spans="1:13" hidden="1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  <c r="J43">
        <f t="shared" si="0"/>
        <v>1.8724592007184169E-13</v>
      </c>
      <c r="K43">
        <f t="shared" si="1"/>
        <v>1.2653318534196481E-13</v>
      </c>
      <c r="L43">
        <f t="shared" si="2"/>
        <v>1</v>
      </c>
      <c r="M43" t="str">
        <f t="shared" si="3"/>
        <v>no</v>
      </c>
    </row>
    <row r="44" spans="1:13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  <c r="J44">
        <f t="shared" si="0"/>
        <v>2.2483899349762366E-14</v>
      </c>
      <c r="K44">
        <f t="shared" si="1"/>
        <v>1.8237808288339523E-13</v>
      </c>
      <c r="L44">
        <f t="shared" si="2"/>
        <v>0</v>
      </c>
      <c r="M44" t="str">
        <f t="shared" si="3"/>
        <v>right</v>
      </c>
    </row>
    <row r="45" spans="1:13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  <c r="J45">
        <f t="shared" si="0"/>
        <v>4.3539778555169928E-15</v>
      </c>
      <c r="K45">
        <f t="shared" si="1"/>
        <v>1.4744533369929553E-17</v>
      </c>
      <c r="L45">
        <f t="shared" si="2"/>
        <v>1</v>
      </c>
      <c r="M45" t="str">
        <f t="shared" si="3"/>
        <v>right</v>
      </c>
    </row>
    <row r="46" spans="1:13" hidden="1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  <c r="J46">
        <f t="shared" si="0"/>
        <v>1.12914003355312E-13</v>
      </c>
      <c r="K46">
        <f t="shared" si="1"/>
        <v>1.1166074982458516E-13</v>
      </c>
      <c r="L46">
        <f t="shared" si="2"/>
        <v>1</v>
      </c>
      <c r="M46" t="str">
        <f t="shared" si="3"/>
        <v>no</v>
      </c>
    </row>
    <row r="47" spans="1:13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  <c r="J47">
        <f t="shared" si="0"/>
        <v>5.5609104184317054E-17</v>
      </c>
      <c r="K47">
        <f t="shared" si="1"/>
        <v>6.0308517567117385E-20</v>
      </c>
      <c r="L47">
        <f t="shared" si="2"/>
        <v>1</v>
      </c>
      <c r="M47" t="str">
        <f t="shared" si="3"/>
        <v>right</v>
      </c>
    </row>
    <row r="48" spans="1:13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  <c r="J48">
        <f t="shared" si="0"/>
        <v>9.9548670276677945E-14</v>
      </c>
      <c r="K48">
        <f t="shared" si="1"/>
        <v>4.5681036455052031E-13</v>
      </c>
      <c r="L48">
        <f t="shared" si="2"/>
        <v>0</v>
      </c>
      <c r="M48" t="str">
        <f t="shared" si="3"/>
        <v>right</v>
      </c>
    </row>
    <row r="49" spans="1:13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  <c r="J49">
        <f t="shared" si="0"/>
        <v>1.266244688579096E-14</v>
      </c>
      <c r="K49">
        <f t="shared" si="1"/>
        <v>8.6465083956790855E-13</v>
      </c>
      <c r="L49">
        <f t="shared" si="2"/>
        <v>0</v>
      </c>
      <c r="M49" t="str">
        <f t="shared" si="3"/>
        <v>right</v>
      </c>
    </row>
    <row r="50" spans="1:13" hidden="1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  <c r="J50">
        <f t="shared" si="0"/>
        <v>1.8233387316155121E-13</v>
      </c>
      <c r="K50">
        <f t="shared" si="1"/>
        <v>8.5435637049374876E-13</v>
      </c>
      <c r="L50">
        <f t="shared" si="2"/>
        <v>0</v>
      </c>
      <c r="M50" t="str">
        <f t="shared" si="3"/>
        <v>no</v>
      </c>
    </row>
    <row r="51" spans="1:13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  <c r="J51">
        <f t="shared" si="0"/>
        <v>2.4128888377828517E-21</v>
      </c>
      <c r="K51">
        <f t="shared" si="1"/>
        <v>2.679930911331576E-19</v>
      </c>
      <c r="L51">
        <f t="shared" si="2"/>
        <v>0</v>
      </c>
      <c r="M51" t="str">
        <f t="shared" si="3"/>
        <v>right</v>
      </c>
    </row>
    <row r="52" spans="1:13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  <c r="J52">
        <f t="shared" si="0"/>
        <v>8.3898704871233815E-15</v>
      </c>
      <c r="K52">
        <f t="shared" si="1"/>
        <v>8.7330668119948154E-13</v>
      </c>
      <c r="L52">
        <f t="shared" si="2"/>
        <v>0</v>
      </c>
      <c r="M52" t="str">
        <f t="shared" si="3"/>
        <v>right</v>
      </c>
    </row>
    <row r="53" spans="1:13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  <c r="J53">
        <f t="shared" si="0"/>
        <v>2.8484041565702556E-14</v>
      </c>
      <c r="K53">
        <f t="shared" si="1"/>
        <v>1.6377229808103203E-12</v>
      </c>
      <c r="L53">
        <f t="shared" si="2"/>
        <v>0</v>
      </c>
      <c r="M53" t="str">
        <f t="shared" si="3"/>
        <v>right</v>
      </c>
    </row>
    <row r="54" spans="1:13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  <c r="J54">
        <f t="shared" si="0"/>
        <v>5.1984441845349125E-14</v>
      </c>
      <c r="K54">
        <f t="shared" si="1"/>
        <v>2.5721839464173607E-12</v>
      </c>
      <c r="L54">
        <f t="shared" si="2"/>
        <v>0</v>
      </c>
      <c r="M54" t="str">
        <f t="shared" si="3"/>
        <v>right</v>
      </c>
    </row>
    <row r="55" spans="1:13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  <c r="J55">
        <f t="shared" si="0"/>
        <v>1.2376566178977158E-14</v>
      </c>
      <c r="K55">
        <f t="shared" si="1"/>
        <v>1.0546540650218647E-16</v>
      </c>
      <c r="L55">
        <f t="shared" si="2"/>
        <v>1</v>
      </c>
      <c r="M55" t="str">
        <f t="shared" si="3"/>
        <v>right</v>
      </c>
    </row>
    <row r="56" spans="1:13" hidden="1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  <c r="J56">
        <f t="shared" si="0"/>
        <v>8.1918612732891669E-14</v>
      </c>
      <c r="K56">
        <f t="shared" si="1"/>
        <v>2.4456970987867517E-15</v>
      </c>
      <c r="L56">
        <f t="shared" si="2"/>
        <v>1</v>
      </c>
      <c r="M56" t="str">
        <f t="shared" si="3"/>
        <v>no</v>
      </c>
    </row>
    <row r="57" spans="1:13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  <c r="J57">
        <f t="shared" si="0"/>
        <v>1.4875816675828477E-15</v>
      </c>
      <c r="K57">
        <f t="shared" si="1"/>
        <v>2.5970565373121855E-13</v>
      </c>
      <c r="L57">
        <f t="shared" si="2"/>
        <v>0</v>
      </c>
      <c r="M57" t="str">
        <f t="shared" si="3"/>
        <v>right</v>
      </c>
    </row>
    <row r="58" spans="1:13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  <c r="J58">
        <f t="shared" si="0"/>
        <v>4.5193007556158799E-14</v>
      </c>
      <c r="K58">
        <f t="shared" si="1"/>
        <v>3.9526103751927759E-16</v>
      </c>
      <c r="L58">
        <f t="shared" si="2"/>
        <v>1</v>
      </c>
      <c r="M58" t="str">
        <f t="shared" si="3"/>
        <v>right</v>
      </c>
    </row>
    <row r="59" spans="1:13" hidden="1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  <c r="J59">
        <f t="shared" si="0"/>
        <v>1.8952399013051022E-15</v>
      </c>
      <c r="K59">
        <f t="shared" si="1"/>
        <v>9.176773138739082E-16</v>
      </c>
      <c r="L59">
        <f t="shared" si="2"/>
        <v>1</v>
      </c>
      <c r="M59" t="str">
        <f t="shared" si="3"/>
        <v>no</v>
      </c>
    </row>
    <row r="60" spans="1:13" hidden="1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  <c r="J60">
        <f t="shared" si="0"/>
        <v>3.7201882376824442E-16</v>
      </c>
      <c r="K60">
        <f t="shared" si="1"/>
        <v>2.9840856232933145E-18</v>
      </c>
      <c r="L60">
        <f t="shared" si="2"/>
        <v>1</v>
      </c>
      <c r="M60" t="str">
        <f t="shared" si="3"/>
        <v>no</v>
      </c>
    </row>
    <row r="61" spans="1:13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  <c r="J61">
        <f t="shared" si="0"/>
        <v>1.9868614367785131E-14</v>
      </c>
      <c r="K61">
        <f t="shared" si="1"/>
        <v>1.7158220332938782E-13</v>
      </c>
      <c r="L61">
        <f t="shared" si="2"/>
        <v>0</v>
      </c>
      <c r="M61" t="str">
        <f t="shared" si="3"/>
        <v>right</v>
      </c>
    </row>
    <row r="62" spans="1:13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  <c r="J62">
        <f t="shared" si="0"/>
        <v>5.6137792268037438E-22</v>
      </c>
      <c r="K62">
        <f t="shared" si="1"/>
        <v>2.657470666160164E-19</v>
      </c>
      <c r="L62">
        <f t="shared" si="2"/>
        <v>0</v>
      </c>
      <c r="M62" t="str">
        <f t="shared" si="3"/>
        <v>right</v>
      </c>
    </row>
    <row r="63" spans="1:13" hidden="1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  <c r="J63">
        <f t="shared" si="0"/>
        <v>1.817258313670494E-13</v>
      </c>
      <c r="K63">
        <f t="shared" si="1"/>
        <v>2.8847192463013115E-13</v>
      </c>
      <c r="L63">
        <f t="shared" si="2"/>
        <v>0</v>
      </c>
      <c r="M63" t="str">
        <f t="shared" si="3"/>
        <v>no</v>
      </c>
    </row>
    <row r="64" spans="1:13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  <c r="J64">
        <f t="shared" si="0"/>
        <v>1.2580965190805289E-15</v>
      </c>
      <c r="K64">
        <f t="shared" si="1"/>
        <v>4.6923154666575566E-14</v>
      </c>
      <c r="L64">
        <f t="shared" si="2"/>
        <v>0</v>
      </c>
      <c r="M64" t="str">
        <f t="shared" si="3"/>
        <v>right</v>
      </c>
    </row>
    <row r="65" spans="1:13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  <c r="J65">
        <f t="shared" si="0"/>
        <v>9.7370422536835225E-14</v>
      </c>
      <c r="K65">
        <f t="shared" si="1"/>
        <v>6.200759267678238E-13</v>
      </c>
      <c r="L65">
        <f t="shared" si="2"/>
        <v>0</v>
      </c>
      <c r="M65" t="str">
        <f t="shared" si="3"/>
        <v>right</v>
      </c>
    </row>
    <row r="66" spans="1:13" hidden="1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  <c r="J66">
        <f t="shared" si="0"/>
        <v>1.3721199475231691E-13</v>
      </c>
      <c r="K66">
        <f t="shared" si="1"/>
        <v>5.4131525369042364E-13</v>
      </c>
      <c r="L66">
        <f t="shared" si="2"/>
        <v>0</v>
      </c>
      <c r="M66" t="str">
        <f t="shared" si="3"/>
        <v>no</v>
      </c>
    </row>
    <row r="67" spans="1:13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  <c r="J67">
        <f t="shared" ref="J67:J130" si="4">$S$1*_xlfn.NORM.DIST(A67,$R$6,$R$10,FALSE)*_xlfn.NORM.DIST(B67,$S$6,$S$10,FALSE)*_xlfn.NORM.DIST(C67,$T$6,$T$10,FALSE)*_xlfn.NORM.DIST(D67,$U$6,$U$10,FALSE)*_xlfn.NORM.DIST(E67,$V$6,$V$10,FALSE)*_xlfn.NORM.DIST(F67,$W$6,$W$10,FALSE)*_xlfn.NORM.DIST(G67,$X$6,$X$10,FALSE)*_xlfn.NORM.DIST(H67,$Y$6,$Y$10,FALSE)</f>
        <v>1.3389994351905294E-13</v>
      </c>
      <c r="K67">
        <f t="shared" ref="K67:K130" si="5">$S$2*_xlfn.NORM.DIST(A67,$R$5,$R$9,FALSE)*_xlfn.NORM.DIST(B67,$S$5,$S$9,FALSE)*_xlfn.NORM.DIST(C67,$T$5,$T$9,FALSE)*_xlfn.NORM.DIST(D67,$U$5,$U$9,FALSE)*_xlfn.NORM.DIST(E67,$V$5,$V$9,FALSE)*_xlfn.NORM.DIST(F67,$W$5,$W$9,FALSE)*_xlfn.NORM.DIST(G67,$X$5,$X$9,FALSE)*_xlfn.NORM.DIST(H67,$Y$5,$Y$9,FALSE)</f>
        <v>2.5913601039608498E-12</v>
      </c>
      <c r="L67">
        <f t="shared" ref="L67:L130" si="6">IF(J67&gt;K67,1,0)</f>
        <v>0</v>
      </c>
      <c r="M67" t="str">
        <f t="shared" ref="M67:M130" si="7">IF(I67=L67,"right","no")</f>
        <v>right</v>
      </c>
    </row>
    <row r="68" spans="1:13" hidden="1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  <c r="J68">
        <f t="shared" si="4"/>
        <v>9.4034835767818033E-14</v>
      </c>
      <c r="K68">
        <f t="shared" si="5"/>
        <v>3.730937931974437E-13</v>
      </c>
      <c r="L68">
        <f t="shared" si="6"/>
        <v>0</v>
      </c>
      <c r="M68" t="str">
        <f t="shared" si="7"/>
        <v>no</v>
      </c>
    </row>
    <row r="69" spans="1:13" hidden="1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  <c r="J69">
        <f t="shared" si="4"/>
        <v>1.3473700371861281E-14</v>
      </c>
      <c r="K69">
        <f t="shared" si="5"/>
        <v>1.3144998593788956E-14</v>
      </c>
      <c r="L69">
        <f t="shared" si="6"/>
        <v>1</v>
      </c>
      <c r="M69" t="str">
        <f t="shared" si="7"/>
        <v>no</v>
      </c>
    </row>
    <row r="70" spans="1:13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  <c r="J70">
        <f t="shared" si="4"/>
        <v>7.9701825222820184E-15</v>
      </c>
      <c r="K70">
        <f t="shared" si="5"/>
        <v>1.1594602825076475E-12</v>
      </c>
      <c r="L70">
        <f t="shared" si="6"/>
        <v>0</v>
      </c>
      <c r="M70" t="str">
        <f t="shared" si="7"/>
        <v>right</v>
      </c>
    </row>
    <row r="71" spans="1:13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  <c r="J71">
        <f t="shared" si="4"/>
        <v>2.2774224054763299E-13</v>
      </c>
      <c r="K71">
        <f t="shared" si="5"/>
        <v>9.3513474356922225E-13</v>
      </c>
      <c r="L71">
        <f t="shared" si="6"/>
        <v>0</v>
      </c>
      <c r="M71" t="str">
        <f t="shared" si="7"/>
        <v>right</v>
      </c>
    </row>
    <row r="72" spans="1:13" hidden="1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  <c r="J72">
        <f t="shared" si="4"/>
        <v>1.5902887765233915E-13</v>
      </c>
      <c r="K72">
        <f t="shared" si="5"/>
        <v>1.7504176960631706E-12</v>
      </c>
      <c r="L72">
        <f t="shared" si="6"/>
        <v>0</v>
      </c>
      <c r="M72" t="str">
        <f t="shared" si="7"/>
        <v>no</v>
      </c>
    </row>
    <row r="73" spans="1:13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  <c r="J73">
        <f t="shared" si="4"/>
        <v>2.8141458771843049E-13</v>
      </c>
      <c r="K73">
        <f t="shared" si="5"/>
        <v>1.2233179812604639E-12</v>
      </c>
      <c r="L73">
        <f t="shared" si="6"/>
        <v>0</v>
      </c>
      <c r="M73" t="str">
        <f t="shared" si="7"/>
        <v>right</v>
      </c>
    </row>
    <row r="74" spans="1:13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  <c r="J74">
        <f t="shared" si="4"/>
        <v>1.0057051180722422E-14</v>
      </c>
      <c r="K74">
        <f t="shared" si="5"/>
        <v>6.8036609436877555E-16</v>
      </c>
      <c r="L74">
        <f t="shared" si="6"/>
        <v>1</v>
      </c>
      <c r="M74" t="str">
        <f t="shared" si="7"/>
        <v>right</v>
      </c>
    </row>
    <row r="75" spans="1:13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  <c r="J75">
        <f t="shared" si="4"/>
        <v>1.0849855945294046E-13</v>
      </c>
      <c r="K75">
        <f t="shared" si="5"/>
        <v>2.03505799910234E-13</v>
      </c>
      <c r="L75">
        <f t="shared" si="6"/>
        <v>0</v>
      </c>
      <c r="M75" t="str">
        <f t="shared" si="7"/>
        <v>right</v>
      </c>
    </row>
    <row r="76" spans="1:13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  <c r="J76">
        <f t="shared" si="4"/>
        <v>2.1057238128466515E-14</v>
      </c>
      <c r="K76">
        <f t="shared" si="5"/>
        <v>1.0320770409484912E-12</v>
      </c>
      <c r="L76">
        <f t="shared" si="6"/>
        <v>0</v>
      </c>
      <c r="M76" t="str">
        <f t="shared" si="7"/>
        <v>right</v>
      </c>
    </row>
    <row r="77" spans="1:13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  <c r="J77">
        <f t="shared" si="4"/>
        <v>1.1722374071343276E-18</v>
      </c>
      <c r="K77">
        <f t="shared" si="5"/>
        <v>1.0806212736592052E-16</v>
      </c>
      <c r="L77">
        <f t="shared" si="6"/>
        <v>0</v>
      </c>
      <c r="M77" t="str">
        <f t="shared" si="7"/>
        <v>right</v>
      </c>
    </row>
    <row r="78" spans="1:13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  <c r="J78">
        <f t="shared" si="4"/>
        <v>1.1253245506124505E-14</v>
      </c>
      <c r="K78">
        <f t="shared" si="5"/>
        <v>1.1232569215387525E-13</v>
      </c>
      <c r="L78">
        <f t="shared" si="6"/>
        <v>0</v>
      </c>
      <c r="M78" t="str">
        <f t="shared" si="7"/>
        <v>right</v>
      </c>
    </row>
    <row r="79" spans="1:13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  <c r="J79">
        <f t="shared" si="4"/>
        <v>1.318521816016353E-13</v>
      </c>
      <c r="K79">
        <f t="shared" si="5"/>
        <v>1.4670251688823589E-12</v>
      </c>
      <c r="L79">
        <f t="shared" si="6"/>
        <v>0</v>
      </c>
      <c r="M79" t="str">
        <f t="shared" si="7"/>
        <v>right</v>
      </c>
    </row>
    <row r="80" spans="1:13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  <c r="J80">
        <f t="shared" si="4"/>
        <v>1.6528547789460543E-16</v>
      </c>
      <c r="K80">
        <f t="shared" si="5"/>
        <v>1.3803378811374382E-16</v>
      </c>
      <c r="L80">
        <f t="shared" si="6"/>
        <v>1</v>
      </c>
      <c r="M80" t="str">
        <f t="shared" si="7"/>
        <v>right</v>
      </c>
    </row>
    <row r="81" spans="1:13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  <c r="J81">
        <f t="shared" si="4"/>
        <v>5.9406163918498658E-14</v>
      </c>
      <c r="K81">
        <f t="shared" si="5"/>
        <v>2.8569319061939029E-12</v>
      </c>
      <c r="L81">
        <f t="shared" si="6"/>
        <v>0</v>
      </c>
      <c r="M81" t="str">
        <f t="shared" si="7"/>
        <v>right</v>
      </c>
    </row>
    <row r="82" spans="1:13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  <c r="J82">
        <f t="shared" si="4"/>
        <v>9.0418908039338874E-15</v>
      </c>
      <c r="K82">
        <f t="shared" si="5"/>
        <v>5.2791926087593549E-13</v>
      </c>
      <c r="L82">
        <f t="shared" si="6"/>
        <v>0</v>
      </c>
      <c r="M82" t="str">
        <f t="shared" si="7"/>
        <v>right</v>
      </c>
    </row>
    <row r="83" spans="1:13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  <c r="J83">
        <f t="shared" si="4"/>
        <v>2.0918687087160398E-22</v>
      </c>
      <c r="K83">
        <f t="shared" si="5"/>
        <v>1.0867576467717537E-19</v>
      </c>
      <c r="L83">
        <f t="shared" si="6"/>
        <v>0</v>
      </c>
      <c r="M83" t="str">
        <f t="shared" si="7"/>
        <v>right</v>
      </c>
    </row>
    <row r="84" spans="1:13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  <c r="J84">
        <f t="shared" si="4"/>
        <v>9.5359144521097494E-14</v>
      </c>
      <c r="K84">
        <f t="shared" si="5"/>
        <v>7.159425113800837E-13</v>
      </c>
      <c r="L84">
        <f t="shared" si="6"/>
        <v>0</v>
      </c>
      <c r="M84" t="str">
        <f t="shared" si="7"/>
        <v>right</v>
      </c>
    </row>
    <row r="85" spans="1:13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  <c r="J85">
        <f t="shared" si="4"/>
        <v>1.3990685680558146E-14</v>
      </c>
      <c r="K85">
        <f t="shared" si="5"/>
        <v>1.0568006977812935E-12</v>
      </c>
      <c r="L85">
        <f t="shared" si="6"/>
        <v>0</v>
      </c>
      <c r="M85" t="str">
        <f t="shared" si="7"/>
        <v>right</v>
      </c>
    </row>
    <row r="86" spans="1:13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  <c r="J86">
        <f t="shared" si="4"/>
        <v>9.8190733268480595E-15</v>
      </c>
      <c r="K86">
        <f t="shared" si="5"/>
        <v>3.8328672834987164E-15</v>
      </c>
      <c r="L86">
        <f t="shared" si="6"/>
        <v>1</v>
      </c>
      <c r="M86" t="str">
        <f t="shared" si="7"/>
        <v>right</v>
      </c>
    </row>
    <row r="87" spans="1:13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  <c r="J87">
        <f t="shared" si="4"/>
        <v>2.5420208305367637E-13</v>
      </c>
      <c r="K87">
        <f t="shared" si="5"/>
        <v>2.4905159893133963E-12</v>
      </c>
      <c r="L87">
        <f t="shared" si="6"/>
        <v>0</v>
      </c>
      <c r="M87" t="str">
        <f t="shared" si="7"/>
        <v>right</v>
      </c>
    </row>
    <row r="88" spans="1:13" hidden="1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  <c r="J88">
        <f t="shared" si="4"/>
        <v>3.8318973306077332E-15</v>
      </c>
      <c r="K88">
        <f t="shared" si="5"/>
        <v>5.1278571650722957E-16</v>
      </c>
      <c r="L88">
        <f t="shared" si="6"/>
        <v>1</v>
      </c>
      <c r="M88" t="str">
        <f t="shared" si="7"/>
        <v>no</v>
      </c>
    </row>
    <row r="89" spans="1:13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  <c r="J89">
        <f t="shared" si="4"/>
        <v>1.4996085314418506E-13</v>
      </c>
      <c r="K89">
        <f t="shared" si="5"/>
        <v>2.6107058927647808E-12</v>
      </c>
      <c r="L89">
        <f t="shared" si="6"/>
        <v>0</v>
      </c>
      <c r="M89" t="str">
        <f t="shared" si="7"/>
        <v>right</v>
      </c>
    </row>
    <row r="90" spans="1:13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  <c r="J90">
        <f t="shared" si="4"/>
        <v>1.0914290199027944E-14</v>
      </c>
      <c r="K90">
        <f t="shared" si="5"/>
        <v>3.84497927639575E-16</v>
      </c>
      <c r="L90">
        <f t="shared" si="6"/>
        <v>1</v>
      </c>
      <c r="M90" t="str">
        <f t="shared" si="7"/>
        <v>right</v>
      </c>
    </row>
    <row r="91" spans="1:13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  <c r="J91">
        <f t="shared" si="4"/>
        <v>3.7858430388581675E-14</v>
      </c>
      <c r="K91">
        <f t="shared" si="5"/>
        <v>1.9645796846748215E-12</v>
      </c>
      <c r="L91">
        <f t="shared" si="6"/>
        <v>0</v>
      </c>
      <c r="M91" t="str">
        <f t="shared" si="7"/>
        <v>right</v>
      </c>
    </row>
    <row r="92" spans="1:13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  <c r="J92">
        <f t="shared" si="4"/>
        <v>5.8878074961387737E-16</v>
      </c>
      <c r="K92">
        <f t="shared" si="5"/>
        <v>1.3306939847720723E-13</v>
      </c>
      <c r="L92">
        <f t="shared" si="6"/>
        <v>0</v>
      </c>
      <c r="M92" t="str">
        <f t="shared" si="7"/>
        <v>right</v>
      </c>
    </row>
    <row r="93" spans="1:13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  <c r="J93">
        <f t="shared" si="4"/>
        <v>5.4251711047642233E-13</v>
      </c>
      <c r="K93">
        <f t="shared" si="5"/>
        <v>2.3692308470508015E-12</v>
      </c>
      <c r="L93">
        <f t="shared" si="6"/>
        <v>0</v>
      </c>
      <c r="M93" t="str">
        <f t="shared" si="7"/>
        <v>right</v>
      </c>
    </row>
    <row r="94" spans="1:13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  <c r="J94">
        <f t="shared" si="4"/>
        <v>1.5412238799468082E-14</v>
      </c>
      <c r="K94">
        <f t="shared" si="5"/>
        <v>3.2973790914958418E-14</v>
      </c>
      <c r="L94">
        <f t="shared" si="6"/>
        <v>0</v>
      </c>
      <c r="M94" t="str">
        <f t="shared" si="7"/>
        <v>right</v>
      </c>
    </row>
    <row r="95" spans="1:13" hidden="1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  <c r="J95">
        <f t="shared" si="4"/>
        <v>9.0811721158027027E-15</v>
      </c>
      <c r="K95">
        <f t="shared" si="5"/>
        <v>4.0627002091149826E-14</v>
      </c>
      <c r="L95">
        <f t="shared" si="6"/>
        <v>0</v>
      </c>
      <c r="M95" t="str">
        <f t="shared" si="7"/>
        <v>no</v>
      </c>
    </row>
    <row r="96" spans="1:13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  <c r="J96">
        <f t="shared" si="4"/>
        <v>6.8415205226414905E-14</v>
      </c>
      <c r="K96">
        <f t="shared" si="5"/>
        <v>6.1628920158161077E-13</v>
      </c>
      <c r="L96">
        <f t="shared" si="6"/>
        <v>0</v>
      </c>
      <c r="M96" t="str">
        <f t="shared" si="7"/>
        <v>right</v>
      </c>
    </row>
    <row r="97" spans="1:13" hidden="1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  <c r="J97">
        <f t="shared" si="4"/>
        <v>4.4822706086068451E-13</v>
      </c>
      <c r="K97">
        <f t="shared" si="5"/>
        <v>2.633581230125889E-13</v>
      </c>
      <c r="L97">
        <f t="shared" si="6"/>
        <v>1</v>
      </c>
      <c r="M97" t="str">
        <f t="shared" si="7"/>
        <v>no</v>
      </c>
    </row>
    <row r="98" spans="1:13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  <c r="J98">
        <f t="shared" si="4"/>
        <v>3.7844794838438776E-14</v>
      </c>
      <c r="K98">
        <f t="shared" si="5"/>
        <v>1.531454351717254E-12</v>
      </c>
      <c r="L98">
        <f t="shared" si="6"/>
        <v>0</v>
      </c>
      <c r="M98" t="str">
        <f t="shared" si="7"/>
        <v>right</v>
      </c>
    </row>
    <row r="99" spans="1:13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  <c r="J99">
        <f t="shared" si="4"/>
        <v>1.2615163722561918E-15</v>
      </c>
      <c r="K99">
        <f t="shared" si="5"/>
        <v>2.6730658620561895E-13</v>
      </c>
      <c r="L99">
        <f t="shared" si="6"/>
        <v>0</v>
      </c>
      <c r="M99" t="str">
        <f t="shared" si="7"/>
        <v>right</v>
      </c>
    </row>
    <row r="100" spans="1:13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  <c r="J100">
        <f t="shared" si="4"/>
        <v>4.6579721841462083E-14</v>
      </c>
      <c r="K100">
        <f t="shared" si="5"/>
        <v>1.2964720296215425E-12</v>
      </c>
      <c r="L100">
        <f t="shared" si="6"/>
        <v>0</v>
      </c>
      <c r="M100" t="str">
        <f t="shared" si="7"/>
        <v>right</v>
      </c>
    </row>
    <row r="101" spans="1:13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  <c r="J101">
        <f t="shared" si="4"/>
        <v>6.1830094384008334E-15</v>
      </c>
      <c r="K101">
        <f t="shared" si="5"/>
        <v>2.9304970918462827E-15</v>
      </c>
      <c r="L101">
        <f t="shared" si="6"/>
        <v>1</v>
      </c>
      <c r="M101" t="str">
        <f t="shared" si="7"/>
        <v>right</v>
      </c>
    </row>
    <row r="102" spans="1:13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  <c r="J102">
        <f t="shared" si="4"/>
        <v>2.800483752232052E-14</v>
      </c>
      <c r="K102">
        <f t="shared" si="5"/>
        <v>3.2657265177210591E-15</v>
      </c>
      <c r="L102">
        <f t="shared" si="6"/>
        <v>1</v>
      </c>
      <c r="M102" t="str">
        <f t="shared" si="7"/>
        <v>right</v>
      </c>
    </row>
    <row r="103" spans="1:13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  <c r="J103">
        <f t="shared" si="4"/>
        <v>2.0324631908233421E-14</v>
      </c>
      <c r="K103">
        <f t="shared" si="5"/>
        <v>1.9591805320697146E-13</v>
      </c>
      <c r="L103">
        <f t="shared" si="6"/>
        <v>0</v>
      </c>
      <c r="M103" t="str">
        <f t="shared" si="7"/>
        <v>right</v>
      </c>
    </row>
    <row r="104" spans="1:13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  <c r="J104">
        <f t="shared" si="4"/>
        <v>3.9982647480034707E-15</v>
      </c>
      <c r="K104">
        <f t="shared" si="5"/>
        <v>1.1114010081668947E-13</v>
      </c>
      <c r="L104">
        <f t="shared" si="6"/>
        <v>0</v>
      </c>
      <c r="M104" t="str">
        <f t="shared" si="7"/>
        <v>right</v>
      </c>
    </row>
    <row r="105" spans="1:13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  <c r="J105">
        <f t="shared" si="4"/>
        <v>1.792264654399484E-14</v>
      </c>
      <c r="K105">
        <f t="shared" si="5"/>
        <v>1.6773010695157969E-12</v>
      </c>
      <c r="L105">
        <f t="shared" si="6"/>
        <v>0</v>
      </c>
      <c r="M105" t="str">
        <f t="shared" si="7"/>
        <v>right</v>
      </c>
    </row>
    <row r="106" spans="1:13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  <c r="J106">
        <f t="shared" si="4"/>
        <v>1.863558947532838E-14</v>
      </c>
      <c r="K106">
        <f t="shared" si="5"/>
        <v>1.417307660538413E-13</v>
      </c>
      <c r="L106">
        <f t="shared" si="6"/>
        <v>0</v>
      </c>
      <c r="M106" t="str">
        <f t="shared" si="7"/>
        <v>right</v>
      </c>
    </row>
    <row r="107" spans="1:13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  <c r="J107">
        <f t="shared" si="4"/>
        <v>7.0825018089812711E-14</v>
      </c>
      <c r="K107">
        <f t="shared" si="5"/>
        <v>6.0006441253237394E-13</v>
      </c>
      <c r="L107">
        <f t="shared" si="6"/>
        <v>0</v>
      </c>
      <c r="M107" t="str">
        <f t="shared" si="7"/>
        <v>right</v>
      </c>
    </row>
    <row r="108" spans="1:13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  <c r="J108">
        <f t="shared" si="4"/>
        <v>4.3903959026123041E-16</v>
      </c>
      <c r="K108">
        <f t="shared" si="5"/>
        <v>7.1797459054190554E-15</v>
      </c>
      <c r="L108">
        <f t="shared" si="6"/>
        <v>0</v>
      </c>
      <c r="M108" t="str">
        <f t="shared" si="7"/>
        <v>right</v>
      </c>
    </row>
    <row r="109" spans="1:13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  <c r="J109">
        <f t="shared" si="4"/>
        <v>4.5794236748632694E-13</v>
      </c>
      <c r="K109">
        <f t="shared" si="5"/>
        <v>1.2544418747835894E-12</v>
      </c>
      <c r="L109">
        <f t="shared" si="6"/>
        <v>0</v>
      </c>
      <c r="M109" t="str">
        <f t="shared" si="7"/>
        <v>right</v>
      </c>
    </row>
    <row r="110" spans="1:13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  <c r="J110">
        <f t="shared" si="4"/>
        <v>5.131524143545288E-14</v>
      </c>
      <c r="K110">
        <f t="shared" si="5"/>
        <v>1.6094551322701543E-12</v>
      </c>
      <c r="L110">
        <f t="shared" si="6"/>
        <v>0</v>
      </c>
      <c r="M110" t="str">
        <f t="shared" si="7"/>
        <v>right</v>
      </c>
    </row>
    <row r="111" spans="1:13" hidden="1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  <c r="J111">
        <f t="shared" si="4"/>
        <v>3.8869052021855457E-14</v>
      </c>
      <c r="K111">
        <f t="shared" si="5"/>
        <v>8.2079866775433438E-13</v>
      </c>
      <c r="L111">
        <f t="shared" si="6"/>
        <v>0</v>
      </c>
      <c r="M111" t="str">
        <f t="shared" si="7"/>
        <v>no</v>
      </c>
    </row>
    <row r="112" spans="1:13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  <c r="J112">
        <f t="shared" si="4"/>
        <v>1.5094583050067675E-13</v>
      </c>
      <c r="K112">
        <f t="shared" si="5"/>
        <v>1.3248643354823054E-13</v>
      </c>
      <c r="L112">
        <f t="shared" si="6"/>
        <v>1</v>
      </c>
      <c r="M112" t="str">
        <f t="shared" si="7"/>
        <v>right</v>
      </c>
    </row>
    <row r="113" spans="1:13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  <c r="J113">
        <f t="shared" si="4"/>
        <v>7.6776446271978444E-15</v>
      </c>
      <c r="K113">
        <f t="shared" si="5"/>
        <v>1.3502608364615452E-17</v>
      </c>
      <c r="L113">
        <f t="shared" si="6"/>
        <v>1</v>
      </c>
      <c r="M113" t="str">
        <f t="shared" si="7"/>
        <v>right</v>
      </c>
    </row>
    <row r="114" spans="1:13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  <c r="J114">
        <f t="shared" si="4"/>
        <v>2.7657709524518262E-14</v>
      </c>
      <c r="K114">
        <f t="shared" si="5"/>
        <v>1.1376461443668095E-12</v>
      </c>
      <c r="L114">
        <f t="shared" si="6"/>
        <v>0</v>
      </c>
      <c r="M114" t="str">
        <f t="shared" si="7"/>
        <v>right</v>
      </c>
    </row>
    <row r="115" spans="1:13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  <c r="J115">
        <f t="shared" si="4"/>
        <v>2.0648845853449358E-14</v>
      </c>
      <c r="K115">
        <f t="shared" si="5"/>
        <v>6.7686998824845569E-13</v>
      </c>
      <c r="L115">
        <f t="shared" si="6"/>
        <v>0</v>
      </c>
      <c r="M115" t="str">
        <f t="shared" si="7"/>
        <v>right</v>
      </c>
    </row>
    <row r="116" spans="1:13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  <c r="J116">
        <f t="shared" si="4"/>
        <v>3.3593701841653921E-13</v>
      </c>
      <c r="K116">
        <f t="shared" si="5"/>
        <v>1.0462805038381891E-13</v>
      </c>
      <c r="L116">
        <f t="shared" si="6"/>
        <v>1</v>
      </c>
      <c r="M116" t="str">
        <f t="shared" si="7"/>
        <v>right</v>
      </c>
    </row>
    <row r="117" spans="1:13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  <c r="J117">
        <f t="shared" si="4"/>
        <v>1.7880609839528242E-14</v>
      </c>
      <c r="K117">
        <f t="shared" si="5"/>
        <v>1.2549156052731645E-14</v>
      </c>
      <c r="L117">
        <f t="shared" si="6"/>
        <v>1</v>
      </c>
      <c r="M117" t="str">
        <f t="shared" si="7"/>
        <v>right</v>
      </c>
    </row>
    <row r="118" spans="1:13" hidden="1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  <c r="J118">
        <f t="shared" si="4"/>
        <v>2.1440230171275313E-13</v>
      </c>
      <c r="K118">
        <f t="shared" si="5"/>
        <v>9.2160676726589692E-13</v>
      </c>
      <c r="L118">
        <f t="shared" si="6"/>
        <v>0</v>
      </c>
      <c r="M118" t="str">
        <f t="shared" si="7"/>
        <v>no</v>
      </c>
    </row>
    <row r="119" spans="1:13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  <c r="J119">
        <f t="shared" si="4"/>
        <v>1.5578387590909266E-14</v>
      </c>
      <c r="K119">
        <f t="shared" si="5"/>
        <v>2.8758003314535613E-13</v>
      </c>
      <c r="L119">
        <f t="shared" si="6"/>
        <v>0</v>
      </c>
      <c r="M119" t="str">
        <f t="shared" si="7"/>
        <v>right</v>
      </c>
    </row>
    <row r="120" spans="1:13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  <c r="J120">
        <f t="shared" si="4"/>
        <v>6.434688405216157E-14</v>
      </c>
      <c r="K120">
        <f t="shared" si="5"/>
        <v>2.858087976055726E-12</v>
      </c>
      <c r="L120">
        <f t="shared" si="6"/>
        <v>0</v>
      </c>
      <c r="M120" t="str">
        <f t="shared" si="7"/>
        <v>right</v>
      </c>
    </row>
    <row r="121" spans="1:13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  <c r="J121">
        <f t="shared" si="4"/>
        <v>2.2083820248142984E-14</v>
      </c>
      <c r="K121">
        <f t="shared" si="5"/>
        <v>1.8180650621713768E-12</v>
      </c>
      <c r="L121">
        <f t="shared" si="6"/>
        <v>0</v>
      </c>
      <c r="M121" t="str">
        <f t="shared" si="7"/>
        <v>right</v>
      </c>
    </row>
    <row r="122" spans="1:13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  <c r="J122">
        <f t="shared" si="4"/>
        <v>1.2376097220092631E-15</v>
      </c>
      <c r="K122">
        <f t="shared" si="5"/>
        <v>1.2862256899591212E-16</v>
      </c>
      <c r="L122">
        <f t="shared" si="6"/>
        <v>1</v>
      </c>
      <c r="M122" t="str">
        <f t="shared" si="7"/>
        <v>right</v>
      </c>
    </row>
    <row r="123" spans="1:13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  <c r="J123">
        <f t="shared" si="4"/>
        <v>1.0996605280795827E-13</v>
      </c>
      <c r="K123">
        <f t="shared" si="5"/>
        <v>9.2853836652546583E-13</v>
      </c>
      <c r="L123">
        <f t="shared" si="6"/>
        <v>0</v>
      </c>
      <c r="M123" t="str">
        <f t="shared" si="7"/>
        <v>right</v>
      </c>
    </row>
    <row r="124" spans="1:13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  <c r="J124">
        <f t="shared" si="4"/>
        <v>1.612104999542037E-13</v>
      </c>
      <c r="K124">
        <f t="shared" si="5"/>
        <v>3.1124131087684063E-12</v>
      </c>
      <c r="L124">
        <f t="shared" si="6"/>
        <v>0</v>
      </c>
      <c r="M124" t="str">
        <f t="shared" si="7"/>
        <v>right</v>
      </c>
    </row>
    <row r="125" spans="1:13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  <c r="J125">
        <f t="shared" si="4"/>
        <v>1.5289801313477953E-15</v>
      </c>
      <c r="K125">
        <f t="shared" si="5"/>
        <v>3.6625863335357386E-15</v>
      </c>
      <c r="L125">
        <f t="shared" si="6"/>
        <v>0</v>
      </c>
      <c r="M125" t="str">
        <f t="shared" si="7"/>
        <v>right</v>
      </c>
    </row>
    <row r="126" spans="1:13" hidden="1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  <c r="J126">
        <f t="shared" si="4"/>
        <v>3.4702154672377644E-14</v>
      </c>
      <c r="K126">
        <f t="shared" si="5"/>
        <v>7.090672022923247E-13</v>
      </c>
      <c r="L126">
        <f t="shared" si="6"/>
        <v>0</v>
      </c>
      <c r="M126" t="str">
        <f t="shared" si="7"/>
        <v>no</v>
      </c>
    </row>
    <row r="127" spans="1:13" hidden="1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  <c r="J127">
        <f t="shared" si="4"/>
        <v>1.9551832003881334E-16</v>
      </c>
      <c r="K127">
        <f t="shared" si="5"/>
        <v>6.0456053001903493E-16</v>
      </c>
      <c r="L127">
        <f t="shared" si="6"/>
        <v>0</v>
      </c>
      <c r="M127" t="str">
        <f t="shared" si="7"/>
        <v>no</v>
      </c>
    </row>
    <row r="128" spans="1:13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  <c r="J128">
        <f t="shared" si="4"/>
        <v>2.9702698471600962E-13</v>
      </c>
      <c r="K128">
        <f t="shared" si="5"/>
        <v>1.0211355216983743E-12</v>
      </c>
      <c r="L128">
        <f t="shared" si="6"/>
        <v>0</v>
      </c>
      <c r="M128" t="str">
        <f t="shared" si="7"/>
        <v>right</v>
      </c>
    </row>
    <row r="129" spans="1:13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  <c r="J129">
        <f t="shared" si="4"/>
        <v>9.3850837495563765E-14</v>
      </c>
      <c r="K129">
        <f t="shared" si="5"/>
        <v>1.3595546013327441E-12</v>
      </c>
      <c r="L129">
        <f t="shared" si="6"/>
        <v>0</v>
      </c>
      <c r="M129" t="str">
        <f t="shared" si="7"/>
        <v>right</v>
      </c>
    </row>
    <row r="130" spans="1:13" hidden="1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  <c r="J130">
        <f t="shared" si="4"/>
        <v>2.8884450270945037E-13</v>
      </c>
      <c r="K130">
        <f t="shared" si="5"/>
        <v>1.2382034382729848E-12</v>
      </c>
      <c r="L130">
        <f t="shared" si="6"/>
        <v>0</v>
      </c>
      <c r="M130" t="str">
        <f t="shared" si="7"/>
        <v>no</v>
      </c>
    </row>
    <row r="131" spans="1:13" hidden="1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  <c r="J131">
        <f t="shared" ref="J131:J194" si="8">$S$1*_xlfn.NORM.DIST(A131,$R$6,$R$10,FALSE)*_xlfn.NORM.DIST(B131,$S$6,$S$10,FALSE)*_xlfn.NORM.DIST(C131,$T$6,$T$10,FALSE)*_xlfn.NORM.DIST(D131,$U$6,$U$10,FALSE)*_xlfn.NORM.DIST(E131,$V$6,$V$10,FALSE)*_xlfn.NORM.DIST(F131,$W$6,$W$10,FALSE)*_xlfn.NORM.DIST(G131,$X$6,$X$10,FALSE)*_xlfn.NORM.DIST(H131,$Y$6,$Y$10,FALSE)</f>
        <v>2.8450861204330142E-15</v>
      </c>
      <c r="K131">
        <f t="shared" ref="K131:K194" si="9">$S$2*_xlfn.NORM.DIST(A131,$R$5,$R$9,FALSE)*_xlfn.NORM.DIST(B131,$S$5,$S$9,FALSE)*_xlfn.NORM.DIST(C131,$T$5,$T$9,FALSE)*_xlfn.NORM.DIST(D131,$U$5,$U$9,FALSE)*_xlfn.NORM.DIST(E131,$V$5,$V$9,FALSE)*_xlfn.NORM.DIST(F131,$W$5,$W$9,FALSE)*_xlfn.NORM.DIST(G131,$X$5,$X$9,FALSE)*_xlfn.NORM.DIST(H131,$Y$5,$Y$9,FALSE)</f>
        <v>1.3968329334406268E-14</v>
      </c>
      <c r="L131">
        <f t="shared" ref="L131:L194" si="10">IF(J131&gt;K131,1,0)</f>
        <v>0</v>
      </c>
      <c r="M131" t="str">
        <f t="shared" ref="M131:M194" si="11">IF(I131=L131,"right","no")</f>
        <v>no</v>
      </c>
    </row>
    <row r="132" spans="1:13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  <c r="J132">
        <f t="shared" si="8"/>
        <v>3.1633193786401554E-13</v>
      </c>
      <c r="K132">
        <f t="shared" si="9"/>
        <v>1.946778011811945E-13</v>
      </c>
      <c r="L132">
        <f t="shared" si="10"/>
        <v>1</v>
      </c>
      <c r="M132" t="str">
        <f t="shared" si="11"/>
        <v>right</v>
      </c>
    </row>
    <row r="133" spans="1:13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  <c r="J133">
        <f t="shared" si="8"/>
        <v>3.8822538937018358E-14</v>
      </c>
      <c r="K133">
        <f t="shared" si="9"/>
        <v>1.79672334525443E-14</v>
      </c>
      <c r="L133">
        <f t="shared" si="10"/>
        <v>1</v>
      </c>
      <c r="M133" t="str">
        <f t="shared" si="11"/>
        <v>right</v>
      </c>
    </row>
    <row r="134" spans="1:13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  <c r="J134">
        <f t="shared" si="8"/>
        <v>2.0016552235052105E-13</v>
      </c>
      <c r="K134">
        <f t="shared" si="9"/>
        <v>5.732628035325827E-14</v>
      </c>
      <c r="L134">
        <f t="shared" si="10"/>
        <v>1</v>
      </c>
      <c r="M134" t="str">
        <f t="shared" si="11"/>
        <v>right</v>
      </c>
    </row>
    <row r="135" spans="1:13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  <c r="J135">
        <f t="shared" si="8"/>
        <v>8.8763083554549929E-14</v>
      </c>
      <c r="K135">
        <f t="shared" si="9"/>
        <v>3.192685111241131E-13</v>
      </c>
      <c r="L135">
        <f t="shared" si="10"/>
        <v>0</v>
      </c>
      <c r="M135" t="str">
        <f t="shared" si="11"/>
        <v>right</v>
      </c>
    </row>
    <row r="136" spans="1:13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  <c r="J136">
        <f t="shared" si="8"/>
        <v>2.1377123768692442E-14</v>
      </c>
      <c r="K136">
        <f t="shared" si="9"/>
        <v>1.6226253499011986E-12</v>
      </c>
      <c r="L136">
        <f t="shared" si="10"/>
        <v>0</v>
      </c>
      <c r="M136" t="str">
        <f t="shared" si="11"/>
        <v>right</v>
      </c>
    </row>
    <row r="137" spans="1:13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  <c r="J137">
        <f t="shared" si="8"/>
        <v>2.3118110027990078E-13</v>
      </c>
      <c r="K137">
        <f t="shared" si="9"/>
        <v>1.7208513255639429E-12</v>
      </c>
      <c r="L137">
        <f t="shared" si="10"/>
        <v>0</v>
      </c>
      <c r="M137" t="str">
        <f t="shared" si="11"/>
        <v>right</v>
      </c>
    </row>
    <row r="138" spans="1:13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  <c r="J138">
        <f t="shared" si="8"/>
        <v>5.2101193769249211E-14</v>
      </c>
      <c r="K138">
        <f t="shared" si="9"/>
        <v>1.8133161913459619E-12</v>
      </c>
      <c r="L138">
        <f t="shared" si="10"/>
        <v>0</v>
      </c>
      <c r="M138" t="str">
        <f t="shared" si="11"/>
        <v>right</v>
      </c>
    </row>
    <row r="139" spans="1:13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  <c r="J139">
        <f t="shared" si="8"/>
        <v>3.3649036987434011E-14</v>
      </c>
      <c r="K139">
        <f t="shared" si="9"/>
        <v>1.6917267035991749E-12</v>
      </c>
      <c r="L139">
        <f t="shared" si="10"/>
        <v>0</v>
      </c>
      <c r="M139" t="str">
        <f t="shared" si="11"/>
        <v>right</v>
      </c>
    </row>
    <row r="140" spans="1:13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  <c r="J140">
        <f t="shared" si="8"/>
        <v>8.3355802623438701E-14</v>
      </c>
      <c r="K140">
        <f t="shared" si="9"/>
        <v>4.901584397863146E-13</v>
      </c>
      <c r="L140">
        <f t="shared" si="10"/>
        <v>0</v>
      </c>
      <c r="M140" t="str">
        <f t="shared" si="11"/>
        <v>right</v>
      </c>
    </row>
    <row r="141" spans="1:13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  <c r="J141">
        <f t="shared" si="8"/>
        <v>5.6026275316592579E-14</v>
      </c>
      <c r="K141">
        <f t="shared" si="9"/>
        <v>7.0649264520447297E-14</v>
      </c>
      <c r="L141">
        <f t="shared" si="10"/>
        <v>0</v>
      </c>
      <c r="M141" t="str">
        <f t="shared" si="11"/>
        <v>right</v>
      </c>
    </row>
    <row r="142" spans="1:13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  <c r="J142">
        <f t="shared" si="8"/>
        <v>8.8073824923444649E-15</v>
      </c>
      <c r="K142">
        <f t="shared" si="9"/>
        <v>7.9656910561662426E-14</v>
      </c>
      <c r="L142">
        <f t="shared" si="10"/>
        <v>0</v>
      </c>
      <c r="M142" t="str">
        <f t="shared" si="11"/>
        <v>right</v>
      </c>
    </row>
    <row r="143" spans="1:13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  <c r="J143">
        <f t="shared" si="8"/>
        <v>2.3087899693899679E-13</v>
      </c>
      <c r="K143">
        <f t="shared" si="9"/>
        <v>9.7227554142860609E-13</v>
      </c>
      <c r="L143">
        <f t="shared" si="10"/>
        <v>0</v>
      </c>
      <c r="M143" t="str">
        <f t="shared" si="11"/>
        <v>right</v>
      </c>
    </row>
    <row r="144" spans="1:13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  <c r="J144">
        <f t="shared" si="8"/>
        <v>8.9954279315402787E-14</v>
      </c>
      <c r="K144">
        <f t="shared" si="9"/>
        <v>2.4821926900619879E-12</v>
      </c>
      <c r="L144">
        <f t="shared" si="10"/>
        <v>0</v>
      </c>
      <c r="M144" t="str">
        <f t="shared" si="11"/>
        <v>right</v>
      </c>
    </row>
    <row r="145" spans="1:13" hidden="1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  <c r="J145">
        <f t="shared" si="8"/>
        <v>5.3205211258527192E-14</v>
      </c>
      <c r="K145">
        <f t="shared" si="9"/>
        <v>1.0251050814421856E-13</v>
      </c>
      <c r="L145">
        <f t="shared" si="10"/>
        <v>0</v>
      </c>
      <c r="M145" t="str">
        <f t="shared" si="11"/>
        <v>no</v>
      </c>
    </row>
    <row r="146" spans="1:13" hidden="1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  <c r="J146">
        <f t="shared" si="8"/>
        <v>9.5727462826821336E-14</v>
      </c>
      <c r="K146">
        <f t="shared" si="9"/>
        <v>6.3914490983437577E-14</v>
      </c>
      <c r="L146">
        <f t="shared" si="10"/>
        <v>1</v>
      </c>
      <c r="M146" t="str">
        <f t="shared" si="11"/>
        <v>no</v>
      </c>
    </row>
    <row r="147" spans="1:13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  <c r="J147">
        <f t="shared" si="8"/>
        <v>4.6172031240871383E-19</v>
      </c>
      <c r="K147">
        <f t="shared" si="9"/>
        <v>6.6023836514384095E-16</v>
      </c>
      <c r="L147">
        <f t="shared" si="10"/>
        <v>0</v>
      </c>
      <c r="M147" t="str">
        <f t="shared" si="11"/>
        <v>right</v>
      </c>
    </row>
    <row r="148" spans="1:13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  <c r="J148">
        <f t="shared" si="8"/>
        <v>3.7677455615355459E-15</v>
      </c>
      <c r="K148">
        <f t="shared" si="9"/>
        <v>1.6856044503892551E-14</v>
      </c>
      <c r="L148">
        <f t="shared" si="10"/>
        <v>0</v>
      </c>
      <c r="M148" t="str">
        <f t="shared" si="11"/>
        <v>right</v>
      </c>
    </row>
    <row r="149" spans="1:13" hidden="1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  <c r="J149">
        <f t="shared" si="8"/>
        <v>1.8380673370694125E-14</v>
      </c>
      <c r="K149">
        <f t="shared" si="9"/>
        <v>1.5563307112891205E-14</v>
      </c>
      <c r="L149">
        <f t="shared" si="10"/>
        <v>1</v>
      </c>
      <c r="M149" t="str">
        <f t="shared" si="11"/>
        <v>no</v>
      </c>
    </row>
    <row r="150" spans="1:13" hidden="1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  <c r="J150">
        <f t="shared" si="8"/>
        <v>9.0384740685273107E-15</v>
      </c>
      <c r="K150">
        <f t="shared" si="9"/>
        <v>6.401207754618055E-15</v>
      </c>
      <c r="L150">
        <f t="shared" si="10"/>
        <v>1</v>
      </c>
      <c r="M150" t="str">
        <f t="shared" si="11"/>
        <v>no</v>
      </c>
    </row>
    <row r="151" spans="1:13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  <c r="J151">
        <f t="shared" si="8"/>
        <v>1.6259350299456297E-14</v>
      </c>
      <c r="K151">
        <f t="shared" si="9"/>
        <v>1.2465555050793251E-12</v>
      </c>
      <c r="L151">
        <f t="shared" si="10"/>
        <v>0</v>
      </c>
      <c r="M151" t="str">
        <f t="shared" si="11"/>
        <v>right</v>
      </c>
    </row>
    <row r="152" spans="1:13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  <c r="J152">
        <f t="shared" si="8"/>
        <v>5.8264121562929128E-14</v>
      </c>
      <c r="K152">
        <f t="shared" si="9"/>
        <v>7.8099672908027924E-14</v>
      </c>
      <c r="L152">
        <f t="shared" si="10"/>
        <v>0</v>
      </c>
      <c r="M152" t="str">
        <f t="shared" si="11"/>
        <v>right</v>
      </c>
    </row>
    <row r="153" spans="1:13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  <c r="J153">
        <f t="shared" si="8"/>
        <v>4.4468369476187829E-14</v>
      </c>
      <c r="K153">
        <f t="shared" si="9"/>
        <v>1.0296087902915094E-12</v>
      </c>
      <c r="L153">
        <f t="shared" si="10"/>
        <v>0</v>
      </c>
      <c r="M153" t="str">
        <f t="shared" si="11"/>
        <v>right</v>
      </c>
    </row>
    <row r="154" spans="1:13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  <c r="J154">
        <f t="shared" si="8"/>
        <v>7.4156320451189162E-14</v>
      </c>
      <c r="K154">
        <f t="shared" si="9"/>
        <v>1.9769439295572548E-15</v>
      </c>
      <c r="L154">
        <f t="shared" si="10"/>
        <v>1</v>
      </c>
      <c r="M154" t="str">
        <f t="shared" si="11"/>
        <v>right</v>
      </c>
    </row>
    <row r="155" spans="1:13" hidden="1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  <c r="J155">
        <f t="shared" si="8"/>
        <v>1.8194387311410763E-15</v>
      </c>
      <c r="K155">
        <f t="shared" si="9"/>
        <v>9.9603046262617941E-18</v>
      </c>
      <c r="L155">
        <f t="shared" si="10"/>
        <v>1</v>
      </c>
      <c r="M155" t="str">
        <f t="shared" si="11"/>
        <v>no</v>
      </c>
    </row>
    <row r="156" spans="1:13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  <c r="J156">
        <f t="shared" si="8"/>
        <v>8.6037012090856948E-15</v>
      </c>
      <c r="K156">
        <f t="shared" si="9"/>
        <v>1.8044113462305046E-16</v>
      </c>
      <c r="L156">
        <f t="shared" si="10"/>
        <v>1</v>
      </c>
      <c r="M156" t="str">
        <f t="shared" si="11"/>
        <v>right</v>
      </c>
    </row>
    <row r="157" spans="1:13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  <c r="J157">
        <f t="shared" si="8"/>
        <v>2.3531285894931535E-14</v>
      </c>
      <c r="K157">
        <f t="shared" si="9"/>
        <v>3.2854302592094984E-15</v>
      </c>
      <c r="L157">
        <f t="shared" si="10"/>
        <v>1</v>
      </c>
      <c r="M157" t="str">
        <f t="shared" si="11"/>
        <v>right</v>
      </c>
    </row>
    <row r="158" spans="1:13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  <c r="J158">
        <f t="shared" si="8"/>
        <v>2.4387531682794401E-14</v>
      </c>
      <c r="K158">
        <f t="shared" si="9"/>
        <v>1.431344191695119E-12</v>
      </c>
      <c r="L158">
        <f t="shared" si="10"/>
        <v>0</v>
      </c>
      <c r="M158" t="str">
        <f t="shared" si="11"/>
        <v>right</v>
      </c>
    </row>
    <row r="159" spans="1:13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  <c r="J159">
        <f t="shared" si="8"/>
        <v>3.7354159203034807E-14</v>
      </c>
      <c r="K159">
        <f t="shared" si="9"/>
        <v>8.1609866562348151E-13</v>
      </c>
      <c r="L159">
        <f t="shared" si="10"/>
        <v>0</v>
      </c>
      <c r="M159" t="str">
        <f t="shared" si="11"/>
        <v>right</v>
      </c>
    </row>
    <row r="160" spans="1:13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  <c r="J160">
        <f t="shared" si="8"/>
        <v>3.4472837810927356E-14</v>
      </c>
      <c r="K160">
        <f t="shared" si="9"/>
        <v>2.3572823545678836E-12</v>
      </c>
      <c r="L160">
        <f t="shared" si="10"/>
        <v>0</v>
      </c>
      <c r="M160" t="str">
        <f t="shared" si="11"/>
        <v>right</v>
      </c>
    </row>
    <row r="161" spans="1:13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  <c r="J161">
        <f t="shared" si="8"/>
        <v>9.3896853179436019E-16</v>
      </c>
      <c r="K161">
        <f t="shared" si="9"/>
        <v>6.1060049929133385E-19</v>
      </c>
      <c r="L161">
        <f t="shared" si="10"/>
        <v>1</v>
      </c>
      <c r="M161" t="str">
        <f t="shared" si="11"/>
        <v>right</v>
      </c>
    </row>
    <row r="162" spans="1:13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  <c r="J162">
        <f t="shared" si="8"/>
        <v>2.0558933477858286E-13</v>
      </c>
      <c r="K162">
        <f t="shared" si="9"/>
        <v>2.8366003086201548E-13</v>
      </c>
      <c r="L162">
        <f t="shared" si="10"/>
        <v>0</v>
      </c>
      <c r="M162" t="str">
        <f t="shared" si="11"/>
        <v>right</v>
      </c>
    </row>
    <row r="163" spans="1:13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  <c r="J163">
        <f t="shared" si="8"/>
        <v>1.2269671093472285E-13</v>
      </c>
      <c r="K163">
        <f t="shared" si="9"/>
        <v>2.6732137071620468E-13</v>
      </c>
      <c r="L163">
        <f t="shared" si="10"/>
        <v>0</v>
      </c>
      <c r="M163" t="str">
        <f t="shared" si="11"/>
        <v>right</v>
      </c>
    </row>
    <row r="164" spans="1:13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  <c r="J164">
        <f t="shared" si="8"/>
        <v>1.7151317086159966E-14</v>
      </c>
      <c r="K164">
        <f t="shared" si="9"/>
        <v>2.1450505563165257E-14</v>
      </c>
      <c r="L164">
        <f t="shared" si="10"/>
        <v>0</v>
      </c>
      <c r="M164" t="str">
        <f t="shared" si="11"/>
        <v>right</v>
      </c>
    </row>
    <row r="165" spans="1:13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  <c r="J165">
        <f t="shared" si="8"/>
        <v>5.8446839038639317E-14</v>
      </c>
      <c r="K165">
        <f t="shared" si="9"/>
        <v>2.8683773802694475E-12</v>
      </c>
      <c r="L165">
        <f t="shared" si="10"/>
        <v>0</v>
      </c>
      <c r="M165" t="str">
        <f t="shared" si="11"/>
        <v>right</v>
      </c>
    </row>
    <row r="166" spans="1:13" hidden="1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  <c r="J166">
        <f t="shared" si="8"/>
        <v>7.8208014270227805E-14</v>
      </c>
      <c r="K166">
        <f t="shared" si="9"/>
        <v>2.7727074855072637E-13</v>
      </c>
      <c r="L166">
        <f t="shared" si="10"/>
        <v>0</v>
      </c>
      <c r="M166" t="str">
        <f t="shared" si="11"/>
        <v>no</v>
      </c>
    </row>
    <row r="167" spans="1:13" hidden="1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  <c r="J167">
        <f t="shared" si="8"/>
        <v>3.007923573106355E-13</v>
      </c>
      <c r="K167">
        <f t="shared" si="9"/>
        <v>1.2365748291610521E-12</v>
      </c>
      <c r="L167">
        <f t="shared" si="10"/>
        <v>0</v>
      </c>
      <c r="M167" t="str">
        <f t="shared" si="11"/>
        <v>no</v>
      </c>
    </row>
    <row r="168" spans="1:13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  <c r="J168">
        <f t="shared" si="8"/>
        <v>1.8381455107538382E-13</v>
      </c>
      <c r="K168">
        <f t="shared" si="9"/>
        <v>1.02338838028374E-12</v>
      </c>
      <c r="L168">
        <f t="shared" si="10"/>
        <v>0</v>
      </c>
      <c r="M168" t="str">
        <f t="shared" si="11"/>
        <v>right</v>
      </c>
    </row>
    <row r="169" spans="1:13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  <c r="J169">
        <f t="shared" si="8"/>
        <v>1.9200573240943455E-13</v>
      </c>
      <c r="K169">
        <f t="shared" si="9"/>
        <v>1.26506290339378E-12</v>
      </c>
      <c r="L169">
        <f t="shared" si="10"/>
        <v>0</v>
      </c>
      <c r="M169" t="str">
        <f t="shared" si="11"/>
        <v>right</v>
      </c>
    </row>
    <row r="170" spans="1:13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  <c r="J170">
        <f t="shared" si="8"/>
        <v>1.5013237532011046E-13</v>
      </c>
      <c r="K170">
        <f t="shared" si="9"/>
        <v>2.0580970456272456E-12</v>
      </c>
      <c r="L170">
        <f t="shared" si="10"/>
        <v>0</v>
      </c>
      <c r="M170" t="str">
        <f t="shared" si="11"/>
        <v>right</v>
      </c>
    </row>
    <row r="171" spans="1:13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  <c r="J171">
        <f t="shared" si="8"/>
        <v>1.6750074701704343E-13</v>
      </c>
      <c r="K171">
        <f t="shared" si="9"/>
        <v>2.65130433818376E-12</v>
      </c>
      <c r="L171">
        <f t="shared" si="10"/>
        <v>0</v>
      </c>
      <c r="M171" t="str">
        <f t="shared" si="11"/>
        <v>right</v>
      </c>
    </row>
    <row r="172" spans="1:13" hidden="1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  <c r="J172">
        <f t="shared" si="8"/>
        <v>7.5208281247536754E-14</v>
      </c>
      <c r="K172">
        <f t="shared" si="9"/>
        <v>6.9008600103853097E-13</v>
      </c>
      <c r="L172">
        <f t="shared" si="10"/>
        <v>0</v>
      </c>
      <c r="M172" t="str">
        <f t="shared" si="11"/>
        <v>no</v>
      </c>
    </row>
    <row r="173" spans="1:13" hidden="1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  <c r="J173">
        <f t="shared" si="8"/>
        <v>7.4614854046367855E-13</v>
      </c>
      <c r="K173">
        <f t="shared" si="9"/>
        <v>1.7618432589730604E-12</v>
      </c>
      <c r="L173">
        <f t="shared" si="10"/>
        <v>0</v>
      </c>
      <c r="M173" t="str">
        <f t="shared" si="11"/>
        <v>no</v>
      </c>
    </row>
    <row r="174" spans="1:13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  <c r="J174">
        <f t="shared" si="8"/>
        <v>2.0204488128632318E-16</v>
      </c>
      <c r="K174">
        <f t="shared" si="9"/>
        <v>1.1503869610362326E-15</v>
      </c>
      <c r="L174">
        <f t="shared" si="10"/>
        <v>0</v>
      </c>
      <c r="M174" t="str">
        <f t="shared" si="11"/>
        <v>right</v>
      </c>
    </row>
    <row r="175" spans="1:13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  <c r="J175">
        <f t="shared" si="8"/>
        <v>8.8348351873320052E-15</v>
      </c>
      <c r="K175">
        <f t="shared" si="9"/>
        <v>9.1957682911023609E-14</v>
      </c>
      <c r="L175">
        <f t="shared" si="10"/>
        <v>0</v>
      </c>
      <c r="M175" t="str">
        <f t="shared" si="11"/>
        <v>right</v>
      </c>
    </row>
    <row r="176" spans="1:13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  <c r="J176">
        <f t="shared" si="8"/>
        <v>5.2536587180022759E-14</v>
      </c>
      <c r="K176">
        <f t="shared" si="9"/>
        <v>2.2639000568089276E-12</v>
      </c>
      <c r="L176">
        <f t="shared" si="10"/>
        <v>0</v>
      </c>
      <c r="M176" t="str">
        <f t="shared" si="11"/>
        <v>right</v>
      </c>
    </row>
    <row r="177" spans="1:13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  <c r="J177">
        <f t="shared" si="8"/>
        <v>1.667082611514685E-13</v>
      </c>
      <c r="K177">
        <f t="shared" si="9"/>
        <v>8.9044417549621911E-15</v>
      </c>
      <c r="L177">
        <f t="shared" si="10"/>
        <v>1</v>
      </c>
      <c r="M177" t="str">
        <f t="shared" si="11"/>
        <v>right</v>
      </c>
    </row>
    <row r="178" spans="1:13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  <c r="J178">
        <f t="shared" si="8"/>
        <v>5.0984727291338394E-14</v>
      </c>
      <c r="K178">
        <f t="shared" si="9"/>
        <v>5.2251164351726569E-13</v>
      </c>
      <c r="L178">
        <f t="shared" si="10"/>
        <v>0</v>
      </c>
      <c r="M178" t="str">
        <f t="shared" si="11"/>
        <v>right</v>
      </c>
    </row>
    <row r="179" spans="1:13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  <c r="J179">
        <f t="shared" si="8"/>
        <v>9.9563146937427625E-19</v>
      </c>
      <c r="K179">
        <f t="shared" si="9"/>
        <v>3.0771901703436057E-19</v>
      </c>
      <c r="L179">
        <f t="shared" si="10"/>
        <v>1</v>
      </c>
      <c r="M179" t="str">
        <f t="shared" si="11"/>
        <v>right</v>
      </c>
    </row>
    <row r="180" spans="1:13" hidden="1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  <c r="J180">
        <f t="shared" si="8"/>
        <v>5.9007763403480086E-14</v>
      </c>
      <c r="K180">
        <f t="shared" si="9"/>
        <v>3.455928271260979E-14</v>
      </c>
      <c r="L180">
        <f t="shared" si="10"/>
        <v>1</v>
      </c>
      <c r="M180" t="str">
        <f t="shared" si="11"/>
        <v>no</v>
      </c>
    </row>
    <row r="181" spans="1:13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  <c r="J181">
        <f t="shared" si="8"/>
        <v>1.4780458913249941E-13</v>
      </c>
      <c r="K181">
        <f t="shared" si="9"/>
        <v>1.0369874444320736E-13</v>
      </c>
      <c r="L181">
        <f t="shared" si="10"/>
        <v>1</v>
      </c>
      <c r="M181" t="str">
        <f t="shared" si="11"/>
        <v>right</v>
      </c>
    </row>
    <row r="182" spans="1:13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  <c r="J182">
        <f t="shared" si="8"/>
        <v>8.2641381306559684E-15</v>
      </c>
      <c r="K182">
        <f t="shared" si="9"/>
        <v>2.7422811451791655E-13</v>
      </c>
      <c r="L182">
        <f t="shared" si="10"/>
        <v>0</v>
      </c>
      <c r="M182" t="str">
        <f t="shared" si="11"/>
        <v>right</v>
      </c>
    </row>
    <row r="183" spans="1:13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  <c r="J183">
        <f t="shared" si="8"/>
        <v>1.3182824155208812E-13</v>
      </c>
      <c r="K183">
        <f t="shared" si="9"/>
        <v>1.3352368809030942E-12</v>
      </c>
      <c r="L183">
        <f t="shared" si="10"/>
        <v>0</v>
      </c>
      <c r="M183" t="str">
        <f t="shared" si="11"/>
        <v>right</v>
      </c>
    </row>
    <row r="184" spans="1:13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  <c r="J184">
        <f t="shared" si="8"/>
        <v>4.840047926613334E-18</v>
      </c>
      <c r="K184">
        <f t="shared" si="9"/>
        <v>3.6530013879509899E-16</v>
      </c>
      <c r="L184">
        <f t="shared" si="10"/>
        <v>0</v>
      </c>
      <c r="M184" t="str">
        <f t="shared" si="11"/>
        <v>right</v>
      </c>
    </row>
    <row r="185" spans="1:13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  <c r="J185">
        <f t="shared" si="8"/>
        <v>8.632573135253614E-15</v>
      </c>
      <c r="K185">
        <f t="shared" si="9"/>
        <v>4.62077193743078E-13</v>
      </c>
      <c r="L185">
        <f t="shared" si="10"/>
        <v>0</v>
      </c>
      <c r="M185" t="str">
        <f t="shared" si="11"/>
        <v>right</v>
      </c>
    </row>
    <row r="186" spans="1:13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  <c r="J186">
        <f t="shared" si="8"/>
        <v>1.4602912485881191E-13</v>
      </c>
      <c r="K186">
        <f t="shared" si="9"/>
        <v>5.9579673440123843E-13</v>
      </c>
      <c r="L186">
        <f t="shared" si="10"/>
        <v>0</v>
      </c>
      <c r="M186" t="str">
        <f t="shared" si="11"/>
        <v>right</v>
      </c>
    </row>
    <row r="187" spans="1:13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  <c r="J187">
        <f t="shared" si="8"/>
        <v>1.377837947862919E-13</v>
      </c>
      <c r="K187">
        <f t="shared" si="9"/>
        <v>3.8043873985384805E-15</v>
      </c>
      <c r="L187">
        <f t="shared" si="10"/>
        <v>1</v>
      </c>
      <c r="M187" t="str">
        <f t="shared" si="11"/>
        <v>right</v>
      </c>
    </row>
    <row r="188" spans="1:13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  <c r="J188">
        <f t="shared" si="8"/>
        <v>3.8756124756985793E-16</v>
      </c>
      <c r="K188">
        <f t="shared" si="9"/>
        <v>9.9729005827812972E-20</v>
      </c>
      <c r="L188">
        <f t="shared" si="10"/>
        <v>1</v>
      </c>
      <c r="M188" t="str">
        <f t="shared" si="11"/>
        <v>right</v>
      </c>
    </row>
    <row r="189" spans="1:13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  <c r="J189">
        <f t="shared" si="8"/>
        <v>1.4097791144442206E-14</v>
      </c>
      <c r="K189">
        <f t="shared" si="9"/>
        <v>4.1689412554113397E-15</v>
      </c>
      <c r="L189">
        <f t="shared" si="10"/>
        <v>1</v>
      </c>
      <c r="M189" t="str">
        <f t="shared" si="11"/>
        <v>right</v>
      </c>
    </row>
    <row r="190" spans="1:13" hidden="1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  <c r="J190">
        <f t="shared" si="8"/>
        <v>1.4195942057515913E-13</v>
      </c>
      <c r="K190">
        <f t="shared" si="9"/>
        <v>5.3069817759403558E-13</v>
      </c>
      <c r="L190">
        <f t="shared" si="10"/>
        <v>0</v>
      </c>
      <c r="M190" t="str">
        <f t="shared" si="11"/>
        <v>no</v>
      </c>
    </row>
    <row r="191" spans="1:13" hidden="1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  <c r="J191">
        <f t="shared" si="8"/>
        <v>2.9259114853571343E-13</v>
      </c>
      <c r="K191">
        <f t="shared" si="9"/>
        <v>8.1252190410329591E-13</v>
      </c>
      <c r="L191">
        <f t="shared" si="10"/>
        <v>0</v>
      </c>
      <c r="M191" t="str">
        <f t="shared" si="11"/>
        <v>no</v>
      </c>
    </row>
    <row r="192" spans="1:13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  <c r="J192">
        <f t="shared" si="8"/>
        <v>8.2654878876966765E-15</v>
      </c>
      <c r="K192">
        <f t="shared" si="9"/>
        <v>5.4584188941839431E-13</v>
      </c>
      <c r="L192">
        <f t="shared" si="10"/>
        <v>0</v>
      </c>
      <c r="M192" t="str">
        <f t="shared" si="11"/>
        <v>right</v>
      </c>
    </row>
    <row r="193" spans="1:13" hidden="1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  <c r="J193">
        <f t="shared" si="8"/>
        <v>1.9184940385100411E-13</v>
      </c>
      <c r="K193">
        <f t="shared" si="9"/>
        <v>1.7683093633437504E-13</v>
      </c>
      <c r="L193">
        <f t="shared" si="10"/>
        <v>1</v>
      </c>
      <c r="M193" t="str">
        <f t="shared" si="11"/>
        <v>no</v>
      </c>
    </row>
    <row r="194" spans="1:13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  <c r="J194">
        <f t="shared" si="8"/>
        <v>1.9518935441129814E-13</v>
      </c>
      <c r="K194">
        <f t="shared" si="9"/>
        <v>1.6354539628614211E-13</v>
      </c>
      <c r="L194">
        <f t="shared" si="10"/>
        <v>1</v>
      </c>
      <c r="M194" t="str">
        <f t="shared" si="11"/>
        <v>right</v>
      </c>
    </row>
    <row r="195" spans="1:13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  <c r="J195">
        <f t="shared" ref="J195:J258" si="12">$S$1*_xlfn.NORM.DIST(A195,$R$6,$R$10,FALSE)*_xlfn.NORM.DIST(B195,$S$6,$S$10,FALSE)*_xlfn.NORM.DIST(C195,$T$6,$T$10,FALSE)*_xlfn.NORM.DIST(D195,$U$6,$U$10,FALSE)*_xlfn.NORM.DIST(E195,$V$6,$V$10,FALSE)*_xlfn.NORM.DIST(F195,$W$6,$W$10,FALSE)*_xlfn.NORM.DIST(G195,$X$6,$X$10,FALSE)*_xlfn.NORM.DIST(H195,$Y$6,$Y$10,FALSE)</f>
        <v>2.505202276371993E-17</v>
      </c>
      <c r="K195">
        <f t="shared" ref="K195:K258" si="13">$S$2*_xlfn.NORM.DIST(A195,$R$5,$R$9,FALSE)*_xlfn.NORM.DIST(B195,$S$5,$S$9,FALSE)*_xlfn.NORM.DIST(C195,$T$5,$T$9,FALSE)*_xlfn.NORM.DIST(D195,$U$5,$U$9,FALSE)*_xlfn.NORM.DIST(E195,$V$5,$V$9,FALSE)*_xlfn.NORM.DIST(F195,$W$5,$W$9,FALSE)*_xlfn.NORM.DIST(G195,$X$5,$X$9,FALSE)*_xlfn.NORM.DIST(H195,$Y$5,$Y$9,FALSE)</f>
        <v>4.871864887871813E-19</v>
      </c>
      <c r="L195">
        <f t="shared" ref="L195:L258" si="14">IF(J195&gt;K195,1,0)</f>
        <v>1</v>
      </c>
      <c r="M195" t="str">
        <f t="shared" ref="M195:M258" si="15">IF(I195=L195,"right","no")</f>
        <v>right</v>
      </c>
    </row>
    <row r="196" spans="1:13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  <c r="J196">
        <f t="shared" si="12"/>
        <v>1.5268969677845328E-14</v>
      </c>
      <c r="K196">
        <f t="shared" si="13"/>
        <v>2.3064611571598064E-13</v>
      </c>
      <c r="L196">
        <f t="shared" si="14"/>
        <v>0</v>
      </c>
      <c r="M196" t="str">
        <f t="shared" si="15"/>
        <v>right</v>
      </c>
    </row>
    <row r="197" spans="1:13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  <c r="J197">
        <f t="shared" si="12"/>
        <v>1.9003727961693119E-13</v>
      </c>
      <c r="K197">
        <f t="shared" si="13"/>
        <v>4.5902845835133994E-14</v>
      </c>
      <c r="L197">
        <f t="shared" si="14"/>
        <v>1</v>
      </c>
      <c r="M197" t="str">
        <f t="shared" si="15"/>
        <v>right</v>
      </c>
    </row>
    <row r="198" spans="1:13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  <c r="J198">
        <f t="shared" si="12"/>
        <v>6.7894321130254764E-15</v>
      </c>
      <c r="K198">
        <f t="shared" si="13"/>
        <v>5.0771497088660904E-13</v>
      </c>
      <c r="L198">
        <f t="shared" si="14"/>
        <v>0</v>
      </c>
      <c r="M198" t="str">
        <f t="shared" si="15"/>
        <v>right</v>
      </c>
    </row>
    <row r="199" spans="1:13" hidden="1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  <c r="J199">
        <f t="shared" si="12"/>
        <v>4.0113262585728312E-14</v>
      </c>
      <c r="K199">
        <f t="shared" si="13"/>
        <v>1.9586574838694665E-12</v>
      </c>
      <c r="L199">
        <f t="shared" si="14"/>
        <v>0</v>
      </c>
      <c r="M199" t="str">
        <f t="shared" si="15"/>
        <v>no</v>
      </c>
    </row>
    <row r="200" spans="1:13" hidden="1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  <c r="J200">
        <f t="shared" si="12"/>
        <v>1.0664319067936377E-13</v>
      </c>
      <c r="K200">
        <f t="shared" si="13"/>
        <v>3.4980987819962102E-13</v>
      </c>
      <c r="L200">
        <f t="shared" si="14"/>
        <v>0</v>
      </c>
      <c r="M200" t="str">
        <f t="shared" si="15"/>
        <v>no</v>
      </c>
    </row>
    <row r="201" spans="1:13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  <c r="J201">
        <f t="shared" si="12"/>
        <v>9.1689040517620342E-14</v>
      </c>
      <c r="K201">
        <f t="shared" si="13"/>
        <v>4.8570942291510234E-14</v>
      </c>
      <c r="L201">
        <f t="shared" si="14"/>
        <v>1</v>
      </c>
      <c r="M201" t="str">
        <f t="shared" si="15"/>
        <v>right</v>
      </c>
    </row>
    <row r="202" spans="1:13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  <c r="J202">
        <f t="shared" si="12"/>
        <v>4.1228092817472538E-14</v>
      </c>
      <c r="K202">
        <f t="shared" si="13"/>
        <v>5.1676838329388332E-13</v>
      </c>
      <c r="L202">
        <f t="shared" si="14"/>
        <v>0</v>
      </c>
      <c r="M202" t="str">
        <f t="shared" si="15"/>
        <v>right</v>
      </c>
    </row>
    <row r="203" spans="1:13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  <c r="J203">
        <f t="shared" si="12"/>
        <v>7.5924697855752814E-14</v>
      </c>
      <c r="K203">
        <f t="shared" si="13"/>
        <v>2.4396748311520416E-13</v>
      </c>
      <c r="L203">
        <f t="shared" si="14"/>
        <v>0</v>
      </c>
      <c r="M203" t="str">
        <f t="shared" si="15"/>
        <v>right</v>
      </c>
    </row>
    <row r="204" spans="1:13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  <c r="J204">
        <f t="shared" si="12"/>
        <v>8.3575161959730502E-14</v>
      </c>
      <c r="K204">
        <f t="shared" si="13"/>
        <v>1.3285625511849385E-12</v>
      </c>
      <c r="L204">
        <f t="shared" si="14"/>
        <v>0</v>
      </c>
      <c r="M204" t="str">
        <f t="shared" si="15"/>
        <v>right</v>
      </c>
    </row>
    <row r="205" spans="1:13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  <c r="J205">
        <f t="shared" si="12"/>
        <v>1.6944302480568056E-14</v>
      </c>
      <c r="K205">
        <f t="shared" si="13"/>
        <v>1.7604072759860968E-12</v>
      </c>
      <c r="L205">
        <f t="shared" si="14"/>
        <v>0</v>
      </c>
      <c r="M205" t="str">
        <f t="shared" si="15"/>
        <v>right</v>
      </c>
    </row>
    <row r="206" spans="1:13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  <c r="J206">
        <f t="shared" si="12"/>
        <v>7.1568296794808849E-14</v>
      </c>
      <c r="K206">
        <f t="shared" si="13"/>
        <v>1.0625395007128965E-13</v>
      </c>
      <c r="L206">
        <f t="shared" si="14"/>
        <v>0</v>
      </c>
      <c r="M206" t="str">
        <f t="shared" si="15"/>
        <v>right</v>
      </c>
    </row>
    <row r="207" spans="1:13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  <c r="J207">
        <f t="shared" si="12"/>
        <v>9.2042314235879311E-14</v>
      </c>
      <c r="K207">
        <f t="shared" si="13"/>
        <v>2.5188348164853421E-12</v>
      </c>
      <c r="L207">
        <f t="shared" si="14"/>
        <v>0</v>
      </c>
      <c r="M207" t="str">
        <f t="shared" si="15"/>
        <v>right</v>
      </c>
    </row>
    <row r="208" spans="1:13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  <c r="J208">
        <f t="shared" si="12"/>
        <v>1.2249989242886264E-14</v>
      </c>
      <c r="K208">
        <f t="shared" si="13"/>
        <v>3.2388488211103634E-17</v>
      </c>
      <c r="L208">
        <f t="shared" si="14"/>
        <v>1</v>
      </c>
      <c r="M208" t="str">
        <f t="shared" si="15"/>
        <v>right</v>
      </c>
    </row>
    <row r="209" spans="1:13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  <c r="J209">
        <f t="shared" si="12"/>
        <v>1.9453480698645185E-14</v>
      </c>
      <c r="K209">
        <f t="shared" si="13"/>
        <v>3.0660267404391877E-15</v>
      </c>
      <c r="L209">
        <f t="shared" si="14"/>
        <v>1</v>
      </c>
      <c r="M209" t="str">
        <f t="shared" si="15"/>
        <v>right</v>
      </c>
    </row>
    <row r="210" spans="1:13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  <c r="J210">
        <f t="shared" si="12"/>
        <v>5.4452778996991665E-14</v>
      </c>
      <c r="K210">
        <f t="shared" si="13"/>
        <v>2.1334537056698882E-12</v>
      </c>
      <c r="L210">
        <f t="shared" si="14"/>
        <v>0</v>
      </c>
      <c r="M210" t="str">
        <f t="shared" si="15"/>
        <v>right</v>
      </c>
    </row>
    <row r="211" spans="1:13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  <c r="J211">
        <f t="shared" si="12"/>
        <v>1.614008372597004E-13</v>
      </c>
      <c r="K211">
        <f t="shared" si="13"/>
        <v>1.130995347136177E-14</v>
      </c>
      <c r="L211">
        <f t="shared" si="14"/>
        <v>1</v>
      </c>
      <c r="M211" t="str">
        <f t="shared" si="15"/>
        <v>right</v>
      </c>
    </row>
    <row r="212" spans="1:13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  <c r="J212">
        <f t="shared" si="12"/>
        <v>2.3249190819475542E-14</v>
      </c>
      <c r="K212">
        <f t="shared" si="13"/>
        <v>1.7292006805689807E-12</v>
      </c>
      <c r="L212">
        <f t="shared" si="14"/>
        <v>0</v>
      </c>
      <c r="M212" t="str">
        <f t="shared" si="15"/>
        <v>right</v>
      </c>
    </row>
    <row r="213" spans="1:13" hidden="1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  <c r="J213">
        <f t="shared" si="12"/>
        <v>1.4068192002741922E-14</v>
      </c>
      <c r="K213">
        <f t="shared" si="13"/>
        <v>1.0648711644752269E-14</v>
      </c>
      <c r="L213">
        <f t="shared" si="14"/>
        <v>1</v>
      </c>
      <c r="M213" t="str">
        <f t="shared" si="15"/>
        <v>no</v>
      </c>
    </row>
    <row r="214" spans="1:13" hidden="1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  <c r="J214">
        <f t="shared" si="12"/>
        <v>1.0694308696495238E-14</v>
      </c>
      <c r="K214">
        <f t="shared" si="13"/>
        <v>5.3955955083700017E-16</v>
      </c>
      <c r="L214">
        <f t="shared" si="14"/>
        <v>1</v>
      </c>
      <c r="M214" t="str">
        <f t="shared" si="15"/>
        <v>no</v>
      </c>
    </row>
    <row r="215" spans="1:13" hidden="1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  <c r="J215">
        <f t="shared" si="12"/>
        <v>1.173155407948389E-13</v>
      </c>
      <c r="K215">
        <f t="shared" si="13"/>
        <v>3.3160753745572749E-13</v>
      </c>
      <c r="L215">
        <f t="shared" si="14"/>
        <v>0</v>
      </c>
      <c r="M215" t="str">
        <f t="shared" si="15"/>
        <v>no</v>
      </c>
    </row>
    <row r="216" spans="1:13" hidden="1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  <c r="J216">
        <f t="shared" si="12"/>
        <v>1.8132980821937329E-13</v>
      </c>
      <c r="K216">
        <f t="shared" si="13"/>
        <v>2.3296163738589879E-13</v>
      </c>
      <c r="L216">
        <f t="shared" si="14"/>
        <v>0</v>
      </c>
      <c r="M216" t="str">
        <f t="shared" si="15"/>
        <v>no</v>
      </c>
    </row>
    <row r="217" spans="1:13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  <c r="J217">
        <f t="shared" si="12"/>
        <v>2.6987086207243757E-14</v>
      </c>
      <c r="K217">
        <f t="shared" si="13"/>
        <v>2.4034159107733224E-16</v>
      </c>
      <c r="L217">
        <f t="shared" si="14"/>
        <v>1</v>
      </c>
      <c r="M217" t="str">
        <f t="shared" si="15"/>
        <v>right</v>
      </c>
    </row>
    <row r="218" spans="1:13" hidden="1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  <c r="J218">
        <f t="shared" si="12"/>
        <v>1.7854842168887813E-13</v>
      </c>
      <c r="K218">
        <f t="shared" si="13"/>
        <v>1.0540660910654547E-12</v>
      </c>
      <c r="L218">
        <f t="shared" si="14"/>
        <v>0</v>
      </c>
      <c r="M218" t="str">
        <f t="shared" si="15"/>
        <v>no</v>
      </c>
    </row>
    <row r="219" spans="1:13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  <c r="J219">
        <f t="shared" si="12"/>
        <v>5.4786239236350607E-13</v>
      </c>
      <c r="K219">
        <f t="shared" si="13"/>
        <v>2.6326498720874102E-12</v>
      </c>
      <c r="L219">
        <f t="shared" si="14"/>
        <v>0</v>
      </c>
      <c r="M219" t="str">
        <f t="shared" si="15"/>
        <v>right</v>
      </c>
    </row>
    <row r="220" spans="1:13" hidden="1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  <c r="J220">
        <f t="shared" si="12"/>
        <v>2.1287888320400061E-14</v>
      </c>
      <c r="K220">
        <f t="shared" si="13"/>
        <v>7.8394676210753592E-14</v>
      </c>
      <c r="L220">
        <f t="shared" si="14"/>
        <v>0</v>
      </c>
      <c r="M220" t="str">
        <f t="shared" si="15"/>
        <v>no</v>
      </c>
    </row>
    <row r="221" spans="1:13" hidden="1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  <c r="J221">
        <f t="shared" si="12"/>
        <v>1.5702889093264945E-13</v>
      </c>
      <c r="K221">
        <f t="shared" si="13"/>
        <v>7.0309608991036479E-13</v>
      </c>
      <c r="L221">
        <f t="shared" si="14"/>
        <v>0</v>
      </c>
      <c r="M221" t="str">
        <f t="shared" si="15"/>
        <v>no</v>
      </c>
    </row>
    <row r="222" spans="1:13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  <c r="J222">
        <f t="shared" si="12"/>
        <v>6.3458793043477073E-16</v>
      </c>
      <c r="K222">
        <f t="shared" si="13"/>
        <v>1.1530092281921649E-18</v>
      </c>
      <c r="L222">
        <f t="shared" si="14"/>
        <v>1</v>
      </c>
      <c r="M222" t="str">
        <f t="shared" si="15"/>
        <v>right</v>
      </c>
    </row>
    <row r="223" spans="1:13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  <c r="J223">
        <f t="shared" si="12"/>
        <v>3.578005661680971E-15</v>
      </c>
      <c r="K223">
        <f t="shared" si="13"/>
        <v>9.5278485421831417E-16</v>
      </c>
      <c r="L223">
        <f t="shared" si="14"/>
        <v>1</v>
      </c>
      <c r="M223" t="str">
        <f t="shared" si="15"/>
        <v>right</v>
      </c>
    </row>
    <row r="224" spans="1:13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  <c r="J224">
        <f t="shared" si="12"/>
        <v>2.8429596824012497E-16</v>
      </c>
      <c r="K224">
        <f t="shared" si="13"/>
        <v>4.3138891055103783E-16</v>
      </c>
      <c r="L224">
        <f t="shared" si="14"/>
        <v>0</v>
      </c>
      <c r="M224" t="str">
        <f t="shared" si="15"/>
        <v>right</v>
      </c>
    </row>
    <row r="225" spans="1:13" hidden="1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  <c r="J225">
        <f t="shared" si="12"/>
        <v>3.2043025356769886E-14</v>
      </c>
      <c r="K225">
        <f t="shared" si="13"/>
        <v>1.1196708168307837E-14</v>
      </c>
      <c r="L225">
        <f t="shared" si="14"/>
        <v>1</v>
      </c>
      <c r="M225" t="str">
        <f t="shared" si="15"/>
        <v>no</v>
      </c>
    </row>
    <row r="226" spans="1:13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  <c r="J226">
        <f t="shared" si="12"/>
        <v>3.7951563987745331E-14</v>
      </c>
      <c r="K226">
        <f t="shared" si="13"/>
        <v>2.0143118725874013E-12</v>
      </c>
      <c r="L226">
        <f t="shared" si="14"/>
        <v>0</v>
      </c>
      <c r="M226" t="str">
        <f t="shared" si="15"/>
        <v>right</v>
      </c>
    </row>
    <row r="227" spans="1:13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  <c r="J227">
        <f t="shared" si="12"/>
        <v>2.2569756862671583E-14</v>
      </c>
      <c r="K227">
        <f t="shared" si="13"/>
        <v>8.4700611222016236E-13</v>
      </c>
      <c r="L227">
        <f t="shared" si="14"/>
        <v>0</v>
      </c>
      <c r="M227" t="str">
        <f t="shared" si="15"/>
        <v>right</v>
      </c>
    </row>
    <row r="228" spans="1:13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  <c r="J228">
        <f t="shared" si="12"/>
        <v>2.7279551758461109E-14</v>
      </c>
      <c r="K228">
        <f t="shared" si="13"/>
        <v>5.5406633002106869E-13</v>
      </c>
      <c r="L228">
        <f t="shared" si="14"/>
        <v>0</v>
      </c>
      <c r="M228" t="str">
        <f t="shared" si="15"/>
        <v>right</v>
      </c>
    </row>
    <row r="229" spans="1:13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  <c r="J229">
        <f t="shared" si="12"/>
        <v>1.2324758404588937E-13</v>
      </c>
      <c r="K229">
        <f t="shared" si="13"/>
        <v>9.6744196460695061E-14</v>
      </c>
      <c r="L229">
        <f t="shared" si="14"/>
        <v>1</v>
      </c>
      <c r="M229" t="str">
        <f t="shared" si="15"/>
        <v>right</v>
      </c>
    </row>
    <row r="230" spans="1:13" hidden="1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  <c r="J230">
        <f t="shared" si="12"/>
        <v>2.8494228721404602E-23</v>
      </c>
      <c r="K230">
        <f t="shared" si="13"/>
        <v>1.0272877462999932E-33</v>
      </c>
      <c r="L230">
        <f t="shared" si="14"/>
        <v>1</v>
      </c>
      <c r="M230" t="str">
        <f t="shared" si="15"/>
        <v>no</v>
      </c>
    </row>
    <row r="231" spans="1:13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  <c r="J231">
        <f t="shared" si="12"/>
        <v>2.3055338711160316E-14</v>
      </c>
      <c r="K231">
        <f t="shared" si="13"/>
        <v>1.4284476962662962E-13</v>
      </c>
      <c r="L231">
        <f t="shared" si="14"/>
        <v>0</v>
      </c>
      <c r="M231" t="str">
        <f t="shared" si="15"/>
        <v>right</v>
      </c>
    </row>
    <row r="232" spans="1:13" hidden="1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  <c r="J232">
        <f t="shared" si="12"/>
        <v>5.1397070917524066E-14</v>
      </c>
      <c r="K232">
        <f t="shared" si="13"/>
        <v>7.3236380711379878E-14</v>
      </c>
      <c r="L232">
        <f t="shared" si="14"/>
        <v>0</v>
      </c>
      <c r="M232" t="str">
        <f t="shared" si="15"/>
        <v>no</v>
      </c>
    </row>
    <row r="233" spans="1:13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  <c r="J233">
        <f t="shared" si="12"/>
        <v>1.5406167690264891E-14</v>
      </c>
      <c r="K233">
        <f t="shared" si="13"/>
        <v>5.0825273330538875E-16</v>
      </c>
      <c r="L233">
        <f t="shared" si="14"/>
        <v>1</v>
      </c>
      <c r="M233" t="str">
        <f t="shared" si="15"/>
        <v>right</v>
      </c>
    </row>
    <row r="234" spans="1:13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  <c r="J234">
        <f t="shared" si="12"/>
        <v>1.2109144926113869E-14</v>
      </c>
      <c r="K234">
        <f t="shared" si="13"/>
        <v>9.5305334519865132E-13</v>
      </c>
      <c r="L234">
        <f t="shared" si="14"/>
        <v>0</v>
      </c>
      <c r="M234" t="str">
        <f t="shared" si="15"/>
        <v>right</v>
      </c>
    </row>
    <row r="235" spans="1:13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  <c r="J235">
        <f t="shared" si="12"/>
        <v>2.1253704539576646E-13</v>
      </c>
      <c r="K235">
        <f t="shared" si="13"/>
        <v>1.5853326277550549E-12</v>
      </c>
      <c r="L235">
        <f t="shared" si="14"/>
        <v>0</v>
      </c>
      <c r="M235" t="str">
        <f t="shared" si="15"/>
        <v>right</v>
      </c>
    </row>
    <row r="236" spans="1:13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  <c r="J236">
        <f t="shared" si="12"/>
        <v>2.3483260298979594E-14</v>
      </c>
      <c r="K236">
        <f t="shared" si="13"/>
        <v>1.5329279070010267E-12</v>
      </c>
      <c r="L236">
        <f t="shared" si="14"/>
        <v>0</v>
      </c>
      <c r="M236" t="str">
        <f t="shared" si="15"/>
        <v>right</v>
      </c>
    </row>
    <row r="237" spans="1:13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  <c r="J237">
        <f t="shared" si="12"/>
        <v>7.1375943729336275E-14</v>
      </c>
      <c r="K237">
        <f t="shared" si="13"/>
        <v>2.7983530293363783E-14</v>
      </c>
      <c r="L237">
        <f t="shared" si="14"/>
        <v>1</v>
      </c>
      <c r="M237" t="str">
        <f t="shared" si="15"/>
        <v>right</v>
      </c>
    </row>
    <row r="238" spans="1:13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  <c r="J238">
        <f t="shared" si="12"/>
        <v>1.2404422262612453E-13</v>
      </c>
      <c r="K238">
        <f t="shared" si="13"/>
        <v>3.9629342009568779E-15</v>
      </c>
      <c r="L238">
        <f t="shared" si="14"/>
        <v>1</v>
      </c>
      <c r="M238" t="str">
        <f t="shared" si="15"/>
        <v>right</v>
      </c>
    </row>
    <row r="239" spans="1:13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  <c r="J239">
        <f t="shared" si="12"/>
        <v>2.2033985884440893E-14</v>
      </c>
      <c r="K239">
        <f t="shared" si="13"/>
        <v>4.1713656508457028E-15</v>
      </c>
      <c r="L239">
        <f t="shared" si="14"/>
        <v>1</v>
      </c>
      <c r="M239" t="str">
        <f t="shared" si="15"/>
        <v>right</v>
      </c>
    </row>
    <row r="240" spans="1:13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  <c r="J240">
        <f t="shared" si="12"/>
        <v>1.6365060186888705E-13</v>
      </c>
      <c r="K240">
        <f t="shared" si="13"/>
        <v>2.913234620384148E-14</v>
      </c>
      <c r="L240">
        <f t="shared" si="14"/>
        <v>1</v>
      </c>
      <c r="M240" t="str">
        <f t="shared" si="15"/>
        <v>right</v>
      </c>
    </row>
    <row r="241" spans="1:13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  <c r="J241">
        <f t="shared" si="12"/>
        <v>3.6636644111505008E-15</v>
      </c>
      <c r="K241">
        <f t="shared" si="13"/>
        <v>2.7126770063609088E-13</v>
      </c>
      <c r="L241">
        <f t="shared" si="14"/>
        <v>0</v>
      </c>
      <c r="M241" t="str">
        <f t="shared" si="15"/>
        <v>right</v>
      </c>
    </row>
    <row r="242" spans="1:13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  <c r="J242">
        <f t="shared" si="12"/>
        <v>2.0539861842185555E-14</v>
      </c>
      <c r="K242">
        <f t="shared" si="13"/>
        <v>1.4139715887209216E-12</v>
      </c>
      <c r="L242">
        <f t="shared" si="14"/>
        <v>0</v>
      </c>
      <c r="M242" t="str">
        <f t="shared" si="15"/>
        <v>right</v>
      </c>
    </row>
    <row r="243" spans="1:13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  <c r="J243">
        <f t="shared" si="12"/>
        <v>9.3330976721444908E-14</v>
      </c>
      <c r="K243">
        <f t="shared" si="13"/>
        <v>2.4191102958049716E-12</v>
      </c>
      <c r="L243">
        <f t="shared" si="14"/>
        <v>0</v>
      </c>
      <c r="M243" t="str">
        <f t="shared" si="15"/>
        <v>right</v>
      </c>
    </row>
    <row r="244" spans="1:13" hidden="1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  <c r="J244">
        <f t="shared" si="12"/>
        <v>3.7183022637189027E-14</v>
      </c>
      <c r="K244">
        <f t="shared" si="13"/>
        <v>5.3464285521102466E-13</v>
      </c>
      <c r="L244">
        <f t="shared" si="14"/>
        <v>0</v>
      </c>
      <c r="M244" t="str">
        <f t="shared" si="15"/>
        <v>no</v>
      </c>
    </row>
    <row r="245" spans="1:13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  <c r="J245">
        <f t="shared" si="12"/>
        <v>2.6300624535809726E-14</v>
      </c>
      <c r="K245">
        <f t="shared" si="13"/>
        <v>1.5643722434847522E-14</v>
      </c>
      <c r="L245">
        <f t="shared" si="14"/>
        <v>1</v>
      </c>
      <c r="M245" t="str">
        <f t="shared" si="15"/>
        <v>right</v>
      </c>
    </row>
    <row r="246" spans="1:13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  <c r="J246">
        <f t="shared" si="12"/>
        <v>2.7638872907907748E-13</v>
      </c>
      <c r="K246">
        <f t="shared" si="13"/>
        <v>3.1652186505992277E-13</v>
      </c>
      <c r="L246">
        <f t="shared" si="14"/>
        <v>0</v>
      </c>
      <c r="M246" t="str">
        <f t="shared" si="15"/>
        <v>right</v>
      </c>
    </row>
    <row r="247" spans="1:13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  <c r="J247">
        <f t="shared" si="12"/>
        <v>1.2063486246547646E-14</v>
      </c>
      <c r="K247">
        <f t="shared" si="13"/>
        <v>1.0152877802827885E-16</v>
      </c>
      <c r="L247">
        <f t="shared" si="14"/>
        <v>1</v>
      </c>
      <c r="M247" t="str">
        <f t="shared" si="15"/>
        <v>right</v>
      </c>
    </row>
    <row r="248" spans="1:13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  <c r="J248">
        <f t="shared" si="12"/>
        <v>7.246076930198659E-14</v>
      </c>
      <c r="K248">
        <f t="shared" si="13"/>
        <v>1.00955982116191E-13</v>
      </c>
      <c r="L248">
        <f t="shared" si="14"/>
        <v>0</v>
      </c>
      <c r="M248" t="str">
        <f t="shared" si="15"/>
        <v>right</v>
      </c>
    </row>
    <row r="249" spans="1:13" hidden="1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  <c r="J249">
        <f t="shared" si="12"/>
        <v>8.028968890274825E-19</v>
      </c>
      <c r="K249">
        <f t="shared" si="13"/>
        <v>8.6706432624807014E-24</v>
      </c>
      <c r="L249">
        <f t="shared" si="14"/>
        <v>1</v>
      </c>
      <c r="M249" t="str">
        <f t="shared" si="15"/>
        <v>no</v>
      </c>
    </row>
    <row r="250" spans="1:13" hidden="1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  <c r="J250">
        <f t="shared" si="12"/>
        <v>2.9149042125776831E-14</v>
      </c>
      <c r="K250">
        <f t="shared" si="13"/>
        <v>1.5540697773478462E-15</v>
      </c>
      <c r="L250">
        <f t="shared" si="14"/>
        <v>1</v>
      </c>
      <c r="M250" t="str">
        <f t="shared" si="15"/>
        <v>no</v>
      </c>
    </row>
    <row r="251" spans="1:13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  <c r="J251">
        <f t="shared" si="12"/>
        <v>4.5194109018622008E-14</v>
      </c>
      <c r="K251">
        <f t="shared" si="13"/>
        <v>1.212109055705712E-12</v>
      </c>
      <c r="L251">
        <f t="shared" si="14"/>
        <v>0</v>
      </c>
      <c r="M251" t="str">
        <f t="shared" si="15"/>
        <v>right</v>
      </c>
    </row>
    <row r="252" spans="1:13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  <c r="J252">
        <f t="shared" si="12"/>
        <v>5.34382753897434E-14</v>
      </c>
      <c r="K252">
        <f t="shared" si="13"/>
        <v>1.5823038836110377E-13</v>
      </c>
      <c r="L252">
        <f t="shared" si="14"/>
        <v>0</v>
      </c>
      <c r="M252" t="str">
        <f t="shared" si="15"/>
        <v>right</v>
      </c>
    </row>
    <row r="253" spans="1:13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  <c r="J253">
        <f t="shared" si="12"/>
        <v>6.7998219284679049E-14</v>
      </c>
      <c r="K253">
        <f t="shared" si="13"/>
        <v>8.4888852733524768E-13</v>
      </c>
      <c r="L253">
        <f t="shared" si="14"/>
        <v>0</v>
      </c>
      <c r="M253" t="str">
        <f t="shared" si="15"/>
        <v>right</v>
      </c>
    </row>
    <row r="254" spans="1:13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  <c r="J254">
        <f t="shared" si="12"/>
        <v>2.0474974422048982E-14</v>
      </c>
      <c r="K254">
        <f t="shared" si="13"/>
        <v>1.770144543231288E-12</v>
      </c>
      <c r="L254">
        <f t="shared" si="14"/>
        <v>0</v>
      </c>
      <c r="M254" t="str">
        <f t="shared" si="15"/>
        <v>right</v>
      </c>
    </row>
    <row r="255" spans="1:13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  <c r="J255">
        <f t="shared" si="12"/>
        <v>2.5892815136079764E-14</v>
      </c>
      <c r="K255">
        <f t="shared" si="13"/>
        <v>7.5115866901594638E-13</v>
      </c>
      <c r="L255">
        <f t="shared" si="14"/>
        <v>0</v>
      </c>
      <c r="M255" t="str">
        <f t="shared" si="15"/>
        <v>right</v>
      </c>
    </row>
    <row r="256" spans="1:13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  <c r="J256">
        <f t="shared" si="12"/>
        <v>5.1018028912904988E-15</v>
      </c>
      <c r="K256">
        <f t="shared" si="13"/>
        <v>1.1482846727000679E-15</v>
      </c>
      <c r="L256">
        <f t="shared" si="14"/>
        <v>1</v>
      </c>
      <c r="M256" t="str">
        <f t="shared" si="15"/>
        <v>right</v>
      </c>
    </row>
    <row r="257" spans="1:13" hidden="1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  <c r="J257">
        <f t="shared" si="12"/>
        <v>8.0340292083478901E-14</v>
      </c>
      <c r="K257">
        <f t="shared" si="13"/>
        <v>1.3204422576310098E-12</v>
      </c>
      <c r="L257">
        <f t="shared" si="14"/>
        <v>0</v>
      </c>
      <c r="M257" t="str">
        <f t="shared" si="15"/>
        <v>no</v>
      </c>
    </row>
    <row r="258" spans="1:13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  <c r="J258">
        <f t="shared" si="12"/>
        <v>1.4960458378348651E-13</v>
      </c>
      <c r="K258">
        <f t="shared" si="13"/>
        <v>1.6560844693864873E-12</v>
      </c>
      <c r="L258">
        <f t="shared" si="14"/>
        <v>0</v>
      </c>
      <c r="M258" t="str">
        <f t="shared" si="15"/>
        <v>right</v>
      </c>
    </row>
    <row r="259" spans="1:13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  <c r="J259">
        <f t="shared" ref="J259:J322" si="16">$S$1*_xlfn.NORM.DIST(A259,$R$6,$R$10,FALSE)*_xlfn.NORM.DIST(B259,$S$6,$S$10,FALSE)*_xlfn.NORM.DIST(C259,$T$6,$T$10,FALSE)*_xlfn.NORM.DIST(D259,$U$6,$U$10,FALSE)*_xlfn.NORM.DIST(E259,$V$6,$V$10,FALSE)*_xlfn.NORM.DIST(F259,$W$6,$W$10,FALSE)*_xlfn.NORM.DIST(G259,$X$6,$X$10,FALSE)*_xlfn.NORM.DIST(H259,$Y$6,$Y$10,FALSE)</f>
        <v>7.3565567664022473E-14</v>
      </c>
      <c r="K259">
        <f t="shared" ref="K259:K322" si="17">$S$2*_xlfn.NORM.DIST(A259,$R$5,$R$9,FALSE)*_xlfn.NORM.DIST(B259,$S$5,$S$9,FALSE)*_xlfn.NORM.DIST(C259,$T$5,$T$9,FALSE)*_xlfn.NORM.DIST(D259,$U$5,$U$9,FALSE)*_xlfn.NORM.DIST(E259,$V$5,$V$9,FALSE)*_xlfn.NORM.DIST(F259,$W$5,$W$9,FALSE)*_xlfn.NORM.DIST(G259,$X$5,$X$9,FALSE)*_xlfn.NORM.DIST(H259,$Y$5,$Y$9,FALSE)</f>
        <v>2.1384177814448764E-12</v>
      </c>
      <c r="L259">
        <f t="shared" ref="L259:L322" si="18">IF(J259&gt;K259,1,0)</f>
        <v>0</v>
      </c>
      <c r="M259" t="str">
        <f t="shared" ref="M259:M322" si="19">IF(I259=L259,"right","no")</f>
        <v>right</v>
      </c>
    </row>
    <row r="260" spans="1:13" hidden="1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  <c r="J260">
        <f t="shared" si="16"/>
        <v>2.9646107564115373E-15</v>
      </c>
      <c r="K260">
        <f t="shared" si="17"/>
        <v>8.3975744728711031E-17</v>
      </c>
      <c r="L260">
        <f t="shared" si="18"/>
        <v>1</v>
      </c>
      <c r="M260" t="str">
        <f t="shared" si="19"/>
        <v>no</v>
      </c>
    </row>
    <row r="261" spans="1:13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  <c r="J261">
        <f t="shared" si="16"/>
        <v>9.3649373762015164E-15</v>
      </c>
      <c r="K261">
        <f t="shared" si="17"/>
        <v>6.1788042696395584E-17</v>
      </c>
      <c r="L261">
        <f t="shared" si="18"/>
        <v>1</v>
      </c>
      <c r="M261" t="str">
        <f t="shared" si="19"/>
        <v>right</v>
      </c>
    </row>
    <row r="262" spans="1:13" hidden="1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  <c r="J262">
        <f t="shared" si="16"/>
        <v>1.6309037799586595E-13</v>
      </c>
      <c r="K262">
        <f t="shared" si="17"/>
        <v>3.8498308156737096E-14</v>
      </c>
      <c r="L262">
        <f t="shared" si="18"/>
        <v>1</v>
      </c>
      <c r="M262" t="str">
        <f t="shared" si="19"/>
        <v>no</v>
      </c>
    </row>
    <row r="263" spans="1:13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  <c r="J263">
        <f t="shared" si="16"/>
        <v>6.3719712393615974E-16</v>
      </c>
      <c r="K263">
        <f t="shared" si="17"/>
        <v>4.49576822424576E-16</v>
      </c>
      <c r="L263">
        <f t="shared" si="18"/>
        <v>1</v>
      </c>
      <c r="M263" t="str">
        <f t="shared" si="19"/>
        <v>right</v>
      </c>
    </row>
    <row r="264" spans="1:13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  <c r="J264">
        <f t="shared" si="16"/>
        <v>1.0766624674423859E-13</v>
      </c>
      <c r="K264">
        <f t="shared" si="17"/>
        <v>2.0844778573087393E-12</v>
      </c>
      <c r="L264">
        <f t="shared" si="18"/>
        <v>0</v>
      </c>
      <c r="M264" t="str">
        <f t="shared" si="19"/>
        <v>right</v>
      </c>
    </row>
    <row r="265" spans="1:13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  <c r="J265">
        <f t="shared" si="16"/>
        <v>2.250762590750507E-14</v>
      </c>
      <c r="K265">
        <f t="shared" si="17"/>
        <v>3.3714410036171712E-14</v>
      </c>
      <c r="L265">
        <f t="shared" si="18"/>
        <v>0</v>
      </c>
      <c r="M265" t="str">
        <f t="shared" si="19"/>
        <v>right</v>
      </c>
    </row>
    <row r="266" spans="1:13" hidden="1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  <c r="J266">
        <f t="shared" si="16"/>
        <v>1.7586830787637072E-13</v>
      </c>
      <c r="K266">
        <f t="shared" si="17"/>
        <v>1.3303989993654033E-12</v>
      </c>
      <c r="L266">
        <f t="shared" si="18"/>
        <v>0</v>
      </c>
      <c r="M266" t="str">
        <f t="shared" si="19"/>
        <v>no</v>
      </c>
    </row>
    <row r="267" spans="1:13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  <c r="J267">
        <f t="shared" si="16"/>
        <v>1.5185395073332713E-13</v>
      </c>
      <c r="K267">
        <f t="shared" si="17"/>
        <v>4.2989227564225309E-13</v>
      </c>
      <c r="L267">
        <f t="shared" si="18"/>
        <v>0</v>
      </c>
      <c r="M267" t="str">
        <f t="shared" si="19"/>
        <v>right</v>
      </c>
    </row>
    <row r="268" spans="1:13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  <c r="J268">
        <f t="shared" si="16"/>
        <v>2.251325968385742E-16</v>
      </c>
      <c r="K268">
        <f t="shared" si="17"/>
        <v>8.6800711720676418E-17</v>
      </c>
      <c r="L268">
        <f t="shared" si="18"/>
        <v>1</v>
      </c>
      <c r="M268" t="str">
        <f t="shared" si="19"/>
        <v>right</v>
      </c>
    </row>
    <row r="269" spans="1:13" hidden="1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  <c r="J269">
        <f t="shared" si="16"/>
        <v>3.7924732914260567E-14</v>
      </c>
      <c r="K269">
        <f t="shared" si="17"/>
        <v>3.6566428000175375E-14</v>
      </c>
      <c r="L269">
        <f t="shared" si="18"/>
        <v>1</v>
      </c>
      <c r="M269" t="str">
        <f t="shared" si="19"/>
        <v>no</v>
      </c>
    </row>
    <row r="270" spans="1:13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  <c r="J270">
        <f t="shared" si="16"/>
        <v>3.05450983268974E-15</v>
      </c>
      <c r="K270">
        <f t="shared" si="17"/>
        <v>2.138548466467824E-13</v>
      </c>
      <c r="L270">
        <f t="shared" si="18"/>
        <v>0</v>
      </c>
      <c r="M270" t="str">
        <f t="shared" si="19"/>
        <v>right</v>
      </c>
    </row>
    <row r="271" spans="1:13" hidden="1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  <c r="J271">
        <f t="shared" si="16"/>
        <v>3.5274778385226025E-16</v>
      </c>
      <c r="K271">
        <f t="shared" si="17"/>
        <v>4.682274367325039E-16</v>
      </c>
      <c r="L271">
        <f t="shared" si="18"/>
        <v>0</v>
      </c>
      <c r="M271" t="str">
        <f t="shared" si="19"/>
        <v>no</v>
      </c>
    </row>
    <row r="272" spans="1:13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  <c r="J272">
        <f t="shared" si="16"/>
        <v>8.225804836776777E-15</v>
      </c>
      <c r="K272">
        <f t="shared" si="17"/>
        <v>9.5854523100452171E-16</v>
      </c>
      <c r="L272">
        <f t="shared" si="18"/>
        <v>1</v>
      </c>
      <c r="M272" t="str">
        <f t="shared" si="19"/>
        <v>right</v>
      </c>
    </row>
    <row r="273" spans="1:13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  <c r="J273">
        <f t="shared" si="16"/>
        <v>2.4619042870226063E-14</v>
      </c>
      <c r="K273">
        <f t="shared" si="17"/>
        <v>1.3536459969615674E-12</v>
      </c>
      <c r="L273">
        <f t="shared" si="18"/>
        <v>0</v>
      </c>
      <c r="M273" t="str">
        <f t="shared" si="19"/>
        <v>right</v>
      </c>
    </row>
    <row r="274" spans="1:13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  <c r="J274">
        <f t="shared" si="16"/>
        <v>4.5747475327699776E-14</v>
      </c>
      <c r="K274">
        <f t="shared" si="17"/>
        <v>6.9612790946664154E-13</v>
      </c>
      <c r="L274">
        <f t="shared" si="18"/>
        <v>0</v>
      </c>
      <c r="M274" t="str">
        <f t="shared" si="19"/>
        <v>right</v>
      </c>
    </row>
    <row r="275" spans="1:13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  <c r="J275">
        <f t="shared" si="16"/>
        <v>4.4221743018266073E-15</v>
      </c>
      <c r="K275">
        <f t="shared" si="17"/>
        <v>1.1219945834929807E-13</v>
      </c>
      <c r="L275">
        <f t="shared" si="18"/>
        <v>0</v>
      </c>
      <c r="M275" t="str">
        <f t="shared" si="19"/>
        <v>right</v>
      </c>
    </row>
    <row r="276" spans="1:13" hidden="1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  <c r="J276">
        <f t="shared" si="16"/>
        <v>5.4900682391693965E-15</v>
      </c>
      <c r="K276">
        <f t="shared" si="17"/>
        <v>1.8748233496168701E-15</v>
      </c>
      <c r="L276">
        <f t="shared" si="18"/>
        <v>1</v>
      </c>
      <c r="M276" t="str">
        <f t="shared" si="19"/>
        <v>no</v>
      </c>
    </row>
    <row r="277" spans="1:13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  <c r="J277">
        <f t="shared" si="16"/>
        <v>3.1395967294298607E-14</v>
      </c>
      <c r="K277">
        <f t="shared" si="17"/>
        <v>1.3832150937866097E-13</v>
      </c>
      <c r="L277">
        <f t="shared" si="18"/>
        <v>0</v>
      </c>
      <c r="M277" t="str">
        <f t="shared" si="19"/>
        <v>right</v>
      </c>
    </row>
    <row r="278" spans="1:13" hidden="1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  <c r="J278">
        <f t="shared" si="16"/>
        <v>9.9966008224856876E-14</v>
      </c>
      <c r="K278">
        <f t="shared" si="17"/>
        <v>1.694753289852793E-12</v>
      </c>
      <c r="L278">
        <f t="shared" si="18"/>
        <v>0</v>
      </c>
      <c r="M278" t="str">
        <f t="shared" si="19"/>
        <v>no</v>
      </c>
    </row>
    <row r="279" spans="1:13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  <c r="J279">
        <f t="shared" si="16"/>
        <v>5.6360567625262076E-14</v>
      </c>
      <c r="K279">
        <f t="shared" si="17"/>
        <v>2.2858903048433087E-12</v>
      </c>
      <c r="L279">
        <f t="shared" si="18"/>
        <v>0</v>
      </c>
      <c r="M279" t="str">
        <f t="shared" si="19"/>
        <v>right</v>
      </c>
    </row>
    <row r="280" spans="1:13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  <c r="J280">
        <f t="shared" si="16"/>
        <v>1.6100197853961792E-14</v>
      </c>
      <c r="K280">
        <f t="shared" si="17"/>
        <v>6.969552649136676E-14</v>
      </c>
      <c r="L280">
        <f t="shared" si="18"/>
        <v>0</v>
      </c>
      <c r="M280" t="str">
        <f t="shared" si="19"/>
        <v>right</v>
      </c>
    </row>
    <row r="281" spans="1:13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  <c r="J281">
        <f t="shared" si="16"/>
        <v>1.5644923503826815E-14</v>
      </c>
      <c r="K281">
        <f t="shared" si="17"/>
        <v>9.5863738860373018E-14</v>
      </c>
      <c r="L281">
        <f t="shared" si="18"/>
        <v>0</v>
      </c>
      <c r="M281" t="str">
        <f t="shared" si="19"/>
        <v>right</v>
      </c>
    </row>
    <row r="282" spans="1:13" hidden="1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  <c r="J282">
        <f t="shared" si="16"/>
        <v>8.9569141756188862E-14</v>
      </c>
      <c r="K282">
        <f t="shared" si="17"/>
        <v>2.6623225715994281E-13</v>
      </c>
      <c r="L282">
        <f t="shared" si="18"/>
        <v>0</v>
      </c>
      <c r="M282" t="str">
        <f t="shared" si="19"/>
        <v>no</v>
      </c>
    </row>
    <row r="283" spans="1:13" hidden="1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  <c r="J283">
        <f t="shared" si="16"/>
        <v>2.6692486124936978E-13</v>
      </c>
      <c r="K283">
        <f t="shared" si="17"/>
        <v>1.6169191768979426E-13</v>
      </c>
      <c r="L283">
        <f t="shared" si="18"/>
        <v>1</v>
      </c>
      <c r="M283" t="str">
        <f t="shared" si="19"/>
        <v>no</v>
      </c>
    </row>
    <row r="284" spans="1:13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  <c r="J284">
        <f t="shared" si="16"/>
        <v>3.784483889051871E-13</v>
      </c>
      <c r="K284">
        <f t="shared" si="17"/>
        <v>5.6501931524270105E-13</v>
      </c>
      <c r="L284">
        <f t="shared" si="18"/>
        <v>0</v>
      </c>
      <c r="M284" t="str">
        <f t="shared" si="19"/>
        <v>right</v>
      </c>
    </row>
    <row r="285" spans="1:13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  <c r="J285">
        <f t="shared" si="16"/>
        <v>6.4914003343269544E-14</v>
      </c>
      <c r="K285">
        <f t="shared" si="17"/>
        <v>2.6023055702272145E-14</v>
      </c>
      <c r="L285">
        <f t="shared" si="18"/>
        <v>1</v>
      </c>
      <c r="M285" t="str">
        <f t="shared" si="19"/>
        <v>right</v>
      </c>
    </row>
    <row r="286" spans="1:13" hidden="1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  <c r="J286">
        <f t="shared" si="16"/>
        <v>2.3266948226614121E-14</v>
      </c>
      <c r="K286">
        <f t="shared" si="17"/>
        <v>2.5915265470106854E-13</v>
      </c>
      <c r="L286">
        <f t="shared" si="18"/>
        <v>0</v>
      </c>
      <c r="M286" t="str">
        <f t="shared" si="19"/>
        <v>no</v>
      </c>
    </row>
    <row r="287" spans="1:13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  <c r="J287">
        <f t="shared" si="16"/>
        <v>1.6536726515113521E-13</v>
      </c>
      <c r="K287">
        <f t="shared" si="17"/>
        <v>2.1063234571709525E-13</v>
      </c>
      <c r="L287">
        <f t="shared" si="18"/>
        <v>0</v>
      </c>
      <c r="M287" t="str">
        <f t="shared" si="19"/>
        <v>right</v>
      </c>
    </row>
    <row r="288" spans="1:13" hidden="1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  <c r="J288">
        <f t="shared" si="16"/>
        <v>1.8648091526009775E-15</v>
      </c>
      <c r="K288">
        <f t="shared" si="17"/>
        <v>9.4904187183591424E-19</v>
      </c>
      <c r="L288">
        <f t="shared" si="18"/>
        <v>1</v>
      </c>
      <c r="M288" t="str">
        <f t="shared" si="19"/>
        <v>no</v>
      </c>
    </row>
    <row r="289" spans="1:13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  <c r="J289">
        <f t="shared" si="16"/>
        <v>3.6056803513202469E-14</v>
      </c>
      <c r="K289">
        <f t="shared" si="17"/>
        <v>2.410198399452071E-14</v>
      </c>
      <c r="L289">
        <f t="shared" si="18"/>
        <v>1</v>
      </c>
      <c r="M289" t="str">
        <f t="shared" si="19"/>
        <v>right</v>
      </c>
    </row>
    <row r="290" spans="1:13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  <c r="J290">
        <f t="shared" si="16"/>
        <v>1.9774583861264786E-14</v>
      </c>
      <c r="K290">
        <f t="shared" si="17"/>
        <v>1.7817754056088279E-12</v>
      </c>
      <c r="L290">
        <f t="shared" si="18"/>
        <v>0</v>
      </c>
      <c r="M290" t="str">
        <f t="shared" si="19"/>
        <v>right</v>
      </c>
    </row>
    <row r="291" spans="1:13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  <c r="J291">
        <f t="shared" si="16"/>
        <v>2.1100764245068117E-13</v>
      </c>
      <c r="K291">
        <f t="shared" si="17"/>
        <v>1.0545409911418648E-12</v>
      </c>
      <c r="L291">
        <f t="shared" si="18"/>
        <v>0</v>
      </c>
      <c r="M291" t="str">
        <f t="shared" si="19"/>
        <v>right</v>
      </c>
    </row>
    <row r="292" spans="1:13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  <c r="J292">
        <f t="shared" si="16"/>
        <v>1.2628641519132769E-14</v>
      </c>
      <c r="K292">
        <f t="shared" si="17"/>
        <v>3.6174157969945381E-13</v>
      </c>
      <c r="L292">
        <f t="shared" si="18"/>
        <v>0</v>
      </c>
      <c r="M292" t="str">
        <f t="shared" si="19"/>
        <v>right</v>
      </c>
    </row>
    <row r="293" spans="1:13" hidden="1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  <c r="J293">
        <f t="shared" si="16"/>
        <v>9.7730728714516216E-14</v>
      </c>
      <c r="K293">
        <f t="shared" si="17"/>
        <v>9.4135705816026079E-13</v>
      </c>
      <c r="L293">
        <f t="shared" si="18"/>
        <v>0</v>
      </c>
      <c r="M293" t="str">
        <f t="shared" si="19"/>
        <v>no</v>
      </c>
    </row>
    <row r="294" spans="1:13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  <c r="J294">
        <f t="shared" si="16"/>
        <v>3.6693080840960284E-14</v>
      </c>
      <c r="K294">
        <f t="shared" si="17"/>
        <v>7.854775843249745E-15</v>
      </c>
      <c r="L294">
        <f t="shared" si="18"/>
        <v>1</v>
      </c>
      <c r="M294" t="str">
        <f t="shared" si="19"/>
        <v>right</v>
      </c>
    </row>
    <row r="295" spans="1:13" hidden="1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  <c r="J295">
        <f t="shared" si="16"/>
        <v>4.2134705270463679E-14</v>
      </c>
      <c r="K295">
        <f t="shared" si="17"/>
        <v>6.4622842761164592E-14</v>
      </c>
      <c r="L295">
        <f t="shared" si="18"/>
        <v>0</v>
      </c>
      <c r="M295" t="str">
        <f t="shared" si="19"/>
        <v>no</v>
      </c>
    </row>
    <row r="296" spans="1:13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  <c r="J296">
        <f t="shared" si="16"/>
        <v>4.5249451154268274E-16</v>
      </c>
      <c r="K296">
        <f t="shared" si="17"/>
        <v>7.6763330089026139E-16</v>
      </c>
      <c r="L296">
        <f t="shared" si="18"/>
        <v>0</v>
      </c>
      <c r="M296" t="str">
        <f t="shared" si="19"/>
        <v>right</v>
      </c>
    </row>
    <row r="297" spans="1:13" hidden="1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  <c r="J297">
        <f t="shared" si="16"/>
        <v>5.2111459295522051E-13</v>
      </c>
      <c r="K297">
        <f t="shared" si="17"/>
        <v>4.2918253898847324E-13</v>
      </c>
      <c r="L297">
        <f t="shared" si="18"/>
        <v>1</v>
      </c>
      <c r="M297" t="str">
        <f t="shared" si="19"/>
        <v>no</v>
      </c>
    </row>
    <row r="298" spans="1:13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  <c r="J298">
        <f t="shared" si="16"/>
        <v>3.6797071987678411E-14</v>
      </c>
      <c r="K298">
        <f t="shared" si="17"/>
        <v>1.3105062764161301E-14</v>
      </c>
      <c r="L298">
        <f t="shared" si="18"/>
        <v>1</v>
      </c>
      <c r="M298" t="str">
        <f t="shared" si="19"/>
        <v>right</v>
      </c>
    </row>
    <row r="299" spans="1:13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  <c r="J299">
        <f t="shared" si="16"/>
        <v>9.1694111063591109E-14</v>
      </c>
      <c r="K299">
        <f t="shared" si="17"/>
        <v>4.6005451128978531E-13</v>
      </c>
      <c r="L299">
        <f t="shared" si="18"/>
        <v>0</v>
      </c>
      <c r="M299" t="str">
        <f t="shared" si="19"/>
        <v>right</v>
      </c>
    </row>
    <row r="300" spans="1:13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  <c r="J300">
        <f t="shared" si="16"/>
        <v>1.2139748320306086E-14</v>
      </c>
      <c r="K300">
        <f t="shared" si="17"/>
        <v>1.536980252084995E-15</v>
      </c>
      <c r="L300">
        <f t="shared" si="18"/>
        <v>1</v>
      </c>
      <c r="M300" t="str">
        <f t="shared" si="19"/>
        <v>right</v>
      </c>
    </row>
    <row r="301" spans="1:13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  <c r="J301">
        <f t="shared" si="16"/>
        <v>5.9124576461042028E-15</v>
      </c>
      <c r="K301">
        <f t="shared" si="17"/>
        <v>1.2331303154036292E-14</v>
      </c>
      <c r="L301">
        <f t="shared" si="18"/>
        <v>0</v>
      </c>
      <c r="M301" t="str">
        <f t="shared" si="19"/>
        <v>right</v>
      </c>
    </row>
    <row r="302" spans="1:13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  <c r="J302">
        <f t="shared" si="16"/>
        <v>2.8665934475743412E-16</v>
      </c>
      <c r="K302">
        <f t="shared" si="17"/>
        <v>3.4621134660639059E-17</v>
      </c>
      <c r="L302">
        <f t="shared" si="18"/>
        <v>1</v>
      </c>
      <c r="M302" t="str">
        <f t="shared" si="19"/>
        <v>right</v>
      </c>
    </row>
    <row r="303" spans="1:13" hidden="1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  <c r="J303">
        <f t="shared" si="16"/>
        <v>2.4590834255399994E-13</v>
      </c>
      <c r="K303">
        <f t="shared" si="17"/>
        <v>1.0408735044438402E-12</v>
      </c>
      <c r="L303">
        <f t="shared" si="18"/>
        <v>0</v>
      </c>
      <c r="M303" t="str">
        <f t="shared" si="19"/>
        <v>no</v>
      </c>
    </row>
    <row r="304" spans="1:13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  <c r="J304">
        <f t="shared" si="16"/>
        <v>3.6021679809216276E-14</v>
      </c>
      <c r="K304">
        <f t="shared" si="17"/>
        <v>3.2647709744617314E-13</v>
      </c>
      <c r="L304">
        <f t="shared" si="18"/>
        <v>0</v>
      </c>
      <c r="M304" t="str">
        <f t="shared" si="19"/>
        <v>right</v>
      </c>
    </row>
    <row r="305" spans="1:13" hidden="1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  <c r="J305">
        <f t="shared" si="16"/>
        <v>2.8467804156107456E-15</v>
      </c>
      <c r="K305">
        <f t="shared" si="17"/>
        <v>4.6922219073274331E-15</v>
      </c>
      <c r="L305">
        <f t="shared" si="18"/>
        <v>0</v>
      </c>
      <c r="M305" t="str">
        <f t="shared" si="19"/>
        <v>no</v>
      </c>
    </row>
    <row r="306" spans="1:13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  <c r="J306">
        <f t="shared" si="16"/>
        <v>3.0665687137735465E-14</v>
      </c>
      <c r="K306">
        <f t="shared" si="17"/>
        <v>2.0214431831148296E-13</v>
      </c>
      <c r="L306">
        <f t="shared" si="18"/>
        <v>0</v>
      </c>
      <c r="M306" t="str">
        <f t="shared" si="19"/>
        <v>right</v>
      </c>
    </row>
    <row r="307" spans="1:13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  <c r="J307">
        <f t="shared" si="16"/>
        <v>1.836536660309535E-13</v>
      </c>
      <c r="K307">
        <f t="shared" si="17"/>
        <v>8.9823143308789598E-13</v>
      </c>
      <c r="L307">
        <f t="shared" si="18"/>
        <v>0</v>
      </c>
      <c r="M307" t="str">
        <f t="shared" si="19"/>
        <v>right</v>
      </c>
    </row>
    <row r="308" spans="1:13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  <c r="J308">
        <f t="shared" si="16"/>
        <v>7.6795775838621426E-14</v>
      </c>
      <c r="K308">
        <f t="shared" si="17"/>
        <v>2.1161614535538769E-14</v>
      </c>
      <c r="L308">
        <f t="shared" si="18"/>
        <v>1</v>
      </c>
      <c r="M308" t="str">
        <f t="shared" si="19"/>
        <v>right</v>
      </c>
    </row>
    <row r="309" spans="1:13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  <c r="J309">
        <f t="shared" si="16"/>
        <v>2.6264223415375312E-14</v>
      </c>
      <c r="K309">
        <f t="shared" si="17"/>
        <v>4.9505141873797337E-13</v>
      </c>
      <c r="L309">
        <f t="shared" si="18"/>
        <v>0</v>
      </c>
      <c r="M309" t="str">
        <f t="shared" si="19"/>
        <v>right</v>
      </c>
    </row>
    <row r="310" spans="1:13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  <c r="J310">
        <f t="shared" si="16"/>
        <v>1.2233866608674941E-14</v>
      </c>
      <c r="K310">
        <f t="shared" si="17"/>
        <v>7.7833845434744517E-15</v>
      </c>
      <c r="L310">
        <f t="shared" si="18"/>
        <v>1</v>
      </c>
      <c r="M310" t="str">
        <f t="shared" si="19"/>
        <v>right</v>
      </c>
    </row>
    <row r="311" spans="1:13" hidden="1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  <c r="J311">
        <f t="shared" si="16"/>
        <v>2.5998242385433587E-13</v>
      </c>
      <c r="K311">
        <f t="shared" si="17"/>
        <v>5.5232660594969475E-13</v>
      </c>
      <c r="L311">
        <f t="shared" si="18"/>
        <v>0</v>
      </c>
      <c r="M311" t="str">
        <f t="shared" si="19"/>
        <v>no</v>
      </c>
    </row>
    <row r="312" spans="1:13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  <c r="J312">
        <f t="shared" si="16"/>
        <v>3.9918489900732485E-14</v>
      </c>
      <c r="K312">
        <f t="shared" si="17"/>
        <v>8.1703688772782196E-13</v>
      </c>
      <c r="L312">
        <f t="shared" si="18"/>
        <v>0</v>
      </c>
      <c r="M312" t="str">
        <f t="shared" si="19"/>
        <v>right</v>
      </c>
    </row>
    <row r="313" spans="1:13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  <c r="J313">
        <f t="shared" si="16"/>
        <v>5.4048569950015021E-14</v>
      </c>
      <c r="K313">
        <f t="shared" si="17"/>
        <v>4.1675034611702939E-13</v>
      </c>
      <c r="L313">
        <f t="shared" si="18"/>
        <v>0</v>
      </c>
      <c r="M313" t="str">
        <f t="shared" si="19"/>
        <v>right</v>
      </c>
    </row>
    <row r="314" spans="1:13" hidden="1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  <c r="J314">
        <f t="shared" si="16"/>
        <v>2.1704705750564297E-13</v>
      </c>
      <c r="K314">
        <f t="shared" si="17"/>
        <v>1.058825355714825E-12</v>
      </c>
      <c r="L314">
        <f t="shared" si="18"/>
        <v>0</v>
      </c>
      <c r="M314" t="str">
        <f t="shared" si="19"/>
        <v>no</v>
      </c>
    </row>
    <row r="315" spans="1:13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  <c r="J315">
        <f t="shared" si="16"/>
        <v>1.2487477014143401E-13</v>
      </c>
      <c r="K315">
        <f t="shared" si="17"/>
        <v>2.2593811722470123E-12</v>
      </c>
      <c r="L315">
        <f t="shared" si="18"/>
        <v>0</v>
      </c>
      <c r="M315" t="str">
        <f t="shared" si="19"/>
        <v>right</v>
      </c>
    </row>
    <row r="316" spans="1:13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  <c r="J316">
        <f t="shared" si="16"/>
        <v>8.8418501319369973E-14</v>
      </c>
      <c r="K316">
        <f t="shared" si="17"/>
        <v>4.6192860801061371E-14</v>
      </c>
      <c r="L316">
        <f t="shared" si="18"/>
        <v>1</v>
      </c>
      <c r="M316" t="str">
        <f t="shared" si="19"/>
        <v>right</v>
      </c>
    </row>
    <row r="317" spans="1:13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  <c r="J317">
        <f t="shared" si="16"/>
        <v>2.5488438403509054E-13</v>
      </c>
      <c r="K317">
        <f t="shared" si="17"/>
        <v>4.4114384356388318E-12</v>
      </c>
      <c r="L317">
        <f t="shared" si="18"/>
        <v>0</v>
      </c>
      <c r="M317" t="str">
        <f t="shared" si="19"/>
        <v>right</v>
      </c>
    </row>
    <row r="318" spans="1:13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  <c r="J318">
        <f t="shared" si="16"/>
        <v>1.670529851810118E-14</v>
      </c>
      <c r="K318">
        <f t="shared" si="17"/>
        <v>1.3412751971092784E-12</v>
      </c>
      <c r="L318">
        <f t="shared" si="18"/>
        <v>0</v>
      </c>
      <c r="M318" t="str">
        <f t="shared" si="19"/>
        <v>right</v>
      </c>
    </row>
    <row r="319" spans="1:13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  <c r="J319">
        <f t="shared" si="16"/>
        <v>7.8208084598221806E-14</v>
      </c>
      <c r="K319">
        <f t="shared" si="17"/>
        <v>4.4821000598048568E-14</v>
      </c>
      <c r="L319">
        <f t="shared" si="18"/>
        <v>1</v>
      </c>
      <c r="M319" t="str">
        <f t="shared" si="19"/>
        <v>right</v>
      </c>
    </row>
    <row r="320" spans="1:13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  <c r="J320">
        <f t="shared" si="16"/>
        <v>1.4811607320309038E-13</v>
      </c>
      <c r="K320">
        <f t="shared" si="17"/>
        <v>8.1636491457882542E-13</v>
      </c>
      <c r="L320">
        <f t="shared" si="18"/>
        <v>0</v>
      </c>
      <c r="M320" t="str">
        <f t="shared" si="19"/>
        <v>right</v>
      </c>
    </row>
    <row r="321" spans="1:13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  <c r="J321">
        <f t="shared" si="16"/>
        <v>1.72517589158005E-15</v>
      </c>
      <c r="K321">
        <f t="shared" si="17"/>
        <v>1.7573273957308117E-16</v>
      </c>
      <c r="L321">
        <f t="shared" si="18"/>
        <v>1</v>
      </c>
      <c r="M321" t="str">
        <f t="shared" si="19"/>
        <v>right</v>
      </c>
    </row>
    <row r="322" spans="1:13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  <c r="J322">
        <f t="shared" si="16"/>
        <v>2.2995302693887452E-13</v>
      </c>
      <c r="K322">
        <f t="shared" si="17"/>
        <v>9.2924552686310755E-13</v>
      </c>
      <c r="L322">
        <f t="shared" si="18"/>
        <v>0</v>
      </c>
      <c r="M322" t="str">
        <f t="shared" si="19"/>
        <v>right</v>
      </c>
    </row>
    <row r="323" spans="1:13" hidden="1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  <c r="J323">
        <f t="shared" ref="J323:J386" si="20">$S$1*_xlfn.NORM.DIST(A323,$R$6,$R$10,FALSE)*_xlfn.NORM.DIST(B323,$S$6,$S$10,FALSE)*_xlfn.NORM.DIST(C323,$T$6,$T$10,FALSE)*_xlfn.NORM.DIST(D323,$U$6,$U$10,FALSE)*_xlfn.NORM.DIST(E323,$V$6,$V$10,FALSE)*_xlfn.NORM.DIST(F323,$W$6,$W$10,FALSE)*_xlfn.NORM.DIST(G323,$X$6,$X$10,FALSE)*_xlfn.NORM.DIST(H323,$Y$6,$Y$10,FALSE)</f>
        <v>1.3338998004059466E-13</v>
      </c>
      <c r="K323">
        <f t="shared" ref="K323:K386" si="21">$S$2*_xlfn.NORM.DIST(A323,$R$5,$R$9,FALSE)*_xlfn.NORM.DIST(B323,$S$5,$S$9,FALSE)*_xlfn.NORM.DIST(C323,$T$5,$T$9,FALSE)*_xlfn.NORM.DIST(D323,$U$5,$U$9,FALSE)*_xlfn.NORM.DIST(E323,$V$5,$V$9,FALSE)*_xlfn.NORM.DIST(F323,$W$5,$W$9,FALSE)*_xlfn.NORM.DIST(G323,$X$5,$X$9,FALSE)*_xlfn.NORM.DIST(H323,$Y$5,$Y$9,FALSE)</f>
        <v>2.5056071507648184E-12</v>
      </c>
      <c r="L323">
        <f t="shared" ref="L323:L386" si="22">IF(J323&gt;K323,1,0)</f>
        <v>0</v>
      </c>
      <c r="M323" t="str">
        <f t="shared" ref="M323:M386" si="23">IF(I323=L323,"right","no")</f>
        <v>no</v>
      </c>
    </row>
    <row r="324" spans="1:13" hidden="1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  <c r="J324">
        <f t="shared" si="20"/>
        <v>1.2536307972206445E-13</v>
      </c>
      <c r="K324">
        <f t="shared" si="21"/>
        <v>1.8246807963412718E-12</v>
      </c>
      <c r="L324">
        <f t="shared" si="22"/>
        <v>0</v>
      </c>
      <c r="M324" t="str">
        <f t="shared" si="23"/>
        <v>no</v>
      </c>
    </row>
    <row r="325" spans="1:13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  <c r="J325">
        <f t="shared" si="20"/>
        <v>1.8559711554274984E-14</v>
      </c>
      <c r="K325">
        <f t="shared" si="21"/>
        <v>1.0303964397621525E-15</v>
      </c>
      <c r="L325">
        <f t="shared" si="22"/>
        <v>1</v>
      </c>
      <c r="M325" t="str">
        <f t="shared" si="23"/>
        <v>right</v>
      </c>
    </row>
    <row r="326" spans="1:13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  <c r="J326">
        <f t="shared" si="20"/>
        <v>6.5004675071597002E-14</v>
      </c>
      <c r="K326">
        <f t="shared" si="21"/>
        <v>1.1004544840879688E-12</v>
      </c>
      <c r="L326">
        <f t="shared" si="22"/>
        <v>0</v>
      </c>
      <c r="M326" t="str">
        <f t="shared" si="23"/>
        <v>right</v>
      </c>
    </row>
    <row r="327" spans="1:13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  <c r="J327">
        <f t="shared" si="20"/>
        <v>5.3143072741940888E-14</v>
      </c>
      <c r="K327">
        <f t="shared" si="21"/>
        <v>2.4135964284203502E-13</v>
      </c>
      <c r="L327">
        <f t="shared" si="22"/>
        <v>0</v>
      </c>
      <c r="M327" t="str">
        <f t="shared" si="23"/>
        <v>right</v>
      </c>
    </row>
    <row r="328" spans="1:13" hidden="1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  <c r="J328">
        <f t="shared" si="20"/>
        <v>2.9937783720902483E-13</v>
      </c>
      <c r="K328">
        <f t="shared" si="21"/>
        <v>1.1971793805751272E-12</v>
      </c>
      <c r="L328">
        <f t="shared" si="22"/>
        <v>0</v>
      </c>
      <c r="M328" t="str">
        <f t="shared" si="23"/>
        <v>no</v>
      </c>
    </row>
    <row r="329" spans="1:13" hidden="1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  <c r="J329">
        <f t="shared" si="20"/>
        <v>4.706875343863231E-14</v>
      </c>
      <c r="K329">
        <f t="shared" si="21"/>
        <v>3.1314741476045312E-15</v>
      </c>
      <c r="L329">
        <f t="shared" si="22"/>
        <v>1</v>
      </c>
      <c r="M329" t="str">
        <f t="shared" si="23"/>
        <v>no</v>
      </c>
    </row>
    <row r="330" spans="1:13" hidden="1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  <c r="J330">
        <f t="shared" si="20"/>
        <v>1.7858155582958888E-14</v>
      </c>
      <c r="K330">
        <f t="shared" si="21"/>
        <v>1.1605636787857644E-13</v>
      </c>
      <c r="L330">
        <f t="shared" si="22"/>
        <v>0</v>
      </c>
      <c r="M330" t="str">
        <f t="shared" si="23"/>
        <v>no</v>
      </c>
    </row>
    <row r="331" spans="1:13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  <c r="J331">
        <f t="shared" si="20"/>
        <v>1.9420761318288869E-13</v>
      </c>
      <c r="K331">
        <f t="shared" si="21"/>
        <v>1.6423340534372174E-12</v>
      </c>
      <c r="L331">
        <f t="shared" si="22"/>
        <v>0</v>
      </c>
      <c r="M331" t="str">
        <f t="shared" si="23"/>
        <v>right</v>
      </c>
    </row>
    <row r="332" spans="1:13" hidden="1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  <c r="J332">
        <f t="shared" si="20"/>
        <v>3.6413403861682407E-15</v>
      </c>
      <c r="K332">
        <f t="shared" si="21"/>
        <v>9.3867962430377875E-16</v>
      </c>
      <c r="L332">
        <f t="shared" si="22"/>
        <v>1</v>
      </c>
      <c r="M332" t="str">
        <f t="shared" si="23"/>
        <v>no</v>
      </c>
    </row>
    <row r="333" spans="1:13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  <c r="J333">
        <f t="shared" si="20"/>
        <v>4.2610897490325599E-14</v>
      </c>
      <c r="K333">
        <f t="shared" si="21"/>
        <v>1.9315444753431049E-12</v>
      </c>
      <c r="L333">
        <f t="shared" si="22"/>
        <v>0</v>
      </c>
      <c r="M333" t="str">
        <f t="shared" si="23"/>
        <v>right</v>
      </c>
    </row>
    <row r="334" spans="1:13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  <c r="J334">
        <f t="shared" si="20"/>
        <v>1.7922346197101142E-16</v>
      </c>
      <c r="K334">
        <f t="shared" si="21"/>
        <v>5.5571215198155086E-18</v>
      </c>
      <c r="L334">
        <f t="shared" si="22"/>
        <v>1</v>
      </c>
      <c r="M334" t="str">
        <f t="shared" si="23"/>
        <v>right</v>
      </c>
    </row>
    <row r="335" spans="1:13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  <c r="J335">
        <f t="shared" si="20"/>
        <v>3.8093795531772474E-15</v>
      </c>
      <c r="K335">
        <f t="shared" si="21"/>
        <v>6.4634034838758971E-15</v>
      </c>
      <c r="L335">
        <f t="shared" si="22"/>
        <v>0</v>
      </c>
      <c r="M335" t="str">
        <f t="shared" si="23"/>
        <v>right</v>
      </c>
    </row>
    <row r="336" spans="1:13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  <c r="J336">
        <f t="shared" si="20"/>
        <v>1.5692154363617089E-14</v>
      </c>
      <c r="K336">
        <f t="shared" si="21"/>
        <v>1.7020508367107924E-12</v>
      </c>
      <c r="L336">
        <f t="shared" si="22"/>
        <v>0</v>
      </c>
      <c r="M336" t="str">
        <f t="shared" si="23"/>
        <v>right</v>
      </c>
    </row>
    <row r="337" spans="1:13" hidden="1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  <c r="J337">
        <f t="shared" si="20"/>
        <v>8.64845720591755E-15</v>
      </c>
      <c r="K337">
        <f t="shared" si="21"/>
        <v>1.0399431508269539E-15</v>
      </c>
      <c r="L337">
        <f t="shared" si="22"/>
        <v>1</v>
      </c>
      <c r="M337" t="str">
        <f t="shared" si="23"/>
        <v>no</v>
      </c>
    </row>
    <row r="338" spans="1:13" hidden="1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  <c r="J338">
        <f t="shared" si="20"/>
        <v>2.5399162077304884E-16</v>
      </c>
      <c r="K338">
        <f t="shared" si="21"/>
        <v>1.1515732715390909E-16</v>
      </c>
      <c r="L338">
        <f t="shared" si="22"/>
        <v>1</v>
      </c>
      <c r="M338" t="str">
        <f t="shared" si="23"/>
        <v>no</v>
      </c>
    </row>
    <row r="339" spans="1:13" hidden="1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  <c r="J339">
        <f t="shared" si="20"/>
        <v>1.584373720693823E-13</v>
      </c>
      <c r="K339">
        <f t="shared" si="21"/>
        <v>8.8881083884130689E-13</v>
      </c>
      <c r="L339">
        <f t="shared" si="22"/>
        <v>0</v>
      </c>
      <c r="M339" t="str">
        <f t="shared" si="23"/>
        <v>no</v>
      </c>
    </row>
    <row r="340" spans="1:13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  <c r="J340">
        <f t="shared" si="20"/>
        <v>2.2269880714192816E-13</v>
      </c>
      <c r="K340">
        <f t="shared" si="21"/>
        <v>2.6141442526550659E-14</v>
      </c>
      <c r="L340">
        <f t="shared" si="22"/>
        <v>1</v>
      </c>
      <c r="M340" t="str">
        <f t="shared" si="23"/>
        <v>right</v>
      </c>
    </row>
    <row r="341" spans="1:13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  <c r="J341">
        <f t="shared" si="20"/>
        <v>8.7391674771414617E-14</v>
      </c>
      <c r="K341">
        <f t="shared" si="21"/>
        <v>7.4241281075860175E-15</v>
      </c>
      <c r="L341">
        <f t="shared" si="22"/>
        <v>1</v>
      </c>
      <c r="M341" t="str">
        <f t="shared" si="23"/>
        <v>right</v>
      </c>
    </row>
    <row r="342" spans="1:13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  <c r="J342">
        <f t="shared" si="20"/>
        <v>8.7862646149278479E-14</v>
      </c>
      <c r="K342">
        <f t="shared" si="21"/>
        <v>1.9722344170189055E-12</v>
      </c>
      <c r="L342">
        <f t="shared" si="22"/>
        <v>0</v>
      </c>
      <c r="M342" t="str">
        <f t="shared" si="23"/>
        <v>right</v>
      </c>
    </row>
    <row r="343" spans="1:13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  <c r="J343">
        <f t="shared" si="20"/>
        <v>8.9943073946051729E-14</v>
      </c>
      <c r="K343">
        <f t="shared" si="21"/>
        <v>2.2890976096272266E-12</v>
      </c>
      <c r="L343">
        <f t="shared" si="22"/>
        <v>0</v>
      </c>
      <c r="M343" t="str">
        <f t="shared" si="23"/>
        <v>right</v>
      </c>
    </row>
    <row r="344" spans="1:13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  <c r="J344">
        <f t="shared" si="20"/>
        <v>6.765153734989184E-18</v>
      </c>
      <c r="K344">
        <f t="shared" si="21"/>
        <v>2.3936897192061585E-16</v>
      </c>
      <c r="L344">
        <f t="shared" si="22"/>
        <v>0</v>
      </c>
      <c r="M344" t="str">
        <f t="shared" si="23"/>
        <v>right</v>
      </c>
    </row>
    <row r="345" spans="1:13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  <c r="J345">
        <f t="shared" si="20"/>
        <v>1.7915649018339414E-13</v>
      </c>
      <c r="K345">
        <f t="shared" si="21"/>
        <v>7.9376691819158674E-13</v>
      </c>
      <c r="L345">
        <f t="shared" si="22"/>
        <v>0</v>
      </c>
      <c r="M345" t="str">
        <f t="shared" si="23"/>
        <v>right</v>
      </c>
    </row>
    <row r="346" spans="1:13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  <c r="J346">
        <f t="shared" si="20"/>
        <v>1.7137360083048965E-14</v>
      </c>
      <c r="K346">
        <f t="shared" si="21"/>
        <v>3.2825973671732804E-14</v>
      </c>
      <c r="L346">
        <f t="shared" si="22"/>
        <v>0</v>
      </c>
      <c r="M346" t="str">
        <f t="shared" si="23"/>
        <v>right</v>
      </c>
    </row>
    <row r="347" spans="1:13" hidden="1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  <c r="J347">
        <f t="shared" si="20"/>
        <v>1.5534015653744888E-13</v>
      </c>
      <c r="K347">
        <f t="shared" si="21"/>
        <v>7.927806667359376E-14</v>
      </c>
      <c r="L347">
        <f t="shared" si="22"/>
        <v>1</v>
      </c>
      <c r="M347" t="str">
        <f t="shared" si="23"/>
        <v>no</v>
      </c>
    </row>
    <row r="348" spans="1:13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  <c r="J348">
        <f t="shared" si="20"/>
        <v>7.9836462088977562E-14</v>
      </c>
      <c r="K348">
        <f t="shared" si="21"/>
        <v>6.9358787658899786E-13</v>
      </c>
      <c r="L348">
        <f t="shared" si="22"/>
        <v>0</v>
      </c>
      <c r="M348" t="str">
        <f t="shared" si="23"/>
        <v>right</v>
      </c>
    </row>
    <row r="349" spans="1:13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  <c r="J349">
        <f t="shared" si="20"/>
        <v>8.0831365090585378E-17</v>
      </c>
      <c r="K349">
        <f t="shared" si="21"/>
        <v>6.6336794500110346E-16</v>
      </c>
      <c r="L349">
        <f t="shared" si="22"/>
        <v>0</v>
      </c>
      <c r="M349" t="str">
        <f t="shared" si="23"/>
        <v>right</v>
      </c>
    </row>
    <row r="350" spans="1:13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  <c r="J350">
        <f t="shared" si="20"/>
        <v>3.0042499667616949E-14</v>
      </c>
      <c r="K350">
        <f t="shared" si="21"/>
        <v>2.5279644676030208E-12</v>
      </c>
      <c r="L350">
        <f t="shared" si="22"/>
        <v>0</v>
      </c>
      <c r="M350" t="str">
        <f t="shared" si="23"/>
        <v>right</v>
      </c>
    </row>
    <row r="351" spans="1:13" hidden="1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  <c r="J351">
        <f t="shared" si="20"/>
        <v>2.2792138407457872E-17</v>
      </c>
      <c r="K351">
        <f t="shared" si="21"/>
        <v>1.2097361081509725E-16</v>
      </c>
      <c r="L351">
        <f t="shared" si="22"/>
        <v>0</v>
      </c>
      <c r="M351" t="str">
        <f t="shared" si="23"/>
        <v>no</v>
      </c>
    </row>
    <row r="352" spans="1:13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  <c r="J352">
        <f t="shared" si="20"/>
        <v>3.4163830361663065E-14</v>
      </c>
      <c r="K352">
        <f t="shared" si="21"/>
        <v>3.3470433957109209E-13</v>
      </c>
      <c r="L352">
        <f t="shared" si="22"/>
        <v>0</v>
      </c>
      <c r="M352" t="str">
        <f t="shared" si="23"/>
        <v>right</v>
      </c>
    </row>
    <row r="353" spans="1:13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  <c r="J353">
        <f t="shared" si="20"/>
        <v>1.5377427578818004E-13</v>
      </c>
      <c r="K353">
        <f t="shared" si="21"/>
        <v>7.201333372569858E-13</v>
      </c>
      <c r="L353">
        <f t="shared" si="22"/>
        <v>0</v>
      </c>
      <c r="M353" t="str">
        <f t="shared" si="23"/>
        <v>right</v>
      </c>
    </row>
    <row r="354" spans="1:13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  <c r="J354">
        <f t="shared" si="20"/>
        <v>1.3094370373990479E-14</v>
      </c>
      <c r="K354">
        <f t="shared" si="21"/>
        <v>1.8732346089441197E-13</v>
      </c>
      <c r="L354">
        <f t="shared" si="22"/>
        <v>0</v>
      </c>
      <c r="M354" t="str">
        <f t="shared" si="23"/>
        <v>right</v>
      </c>
    </row>
    <row r="355" spans="1:13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  <c r="J355">
        <f t="shared" si="20"/>
        <v>3.3632531545452215E-14</v>
      </c>
      <c r="K355">
        <f t="shared" si="21"/>
        <v>2.0424263421410512E-12</v>
      </c>
      <c r="L355">
        <f t="shared" si="22"/>
        <v>0</v>
      </c>
      <c r="M355" t="str">
        <f t="shared" si="23"/>
        <v>right</v>
      </c>
    </row>
    <row r="356" spans="1:13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  <c r="J356">
        <f t="shared" si="20"/>
        <v>1.733830976988663E-14</v>
      </c>
      <c r="K356">
        <f t="shared" si="21"/>
        <v>2.4321957287495019E-13</v>
      </c>
      <c r="L356">
        <f t="shared" si="22"/>
        <v>0</v>
      </c>
      <c r="M356" t="str">
        <f t="shared" si="23"/>
        <v>right</v>
      </c>
    </row>
    <row r="357" spans="1:13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  <c r="J357">
        <f t="shared" si="20"/>
        <v>4.0503438401682511E-14</v>
      </c>
      <c r="K357">
        <f t="shared" si="21"/>
        <v>6.3843890259113282E-15</v>
      </c>
      <c r="L357">
        <f t="shared" si="22"/>
        <v>1</v>
      </c>
      <c r="M357" t="str">
        <f t="shared" si="23"/>
        <v>right</v>
      </c>
    </row>
    <row r="358" spans="1:13" hidden="1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  <c r="J358">
        <f t="shared" si="20"/>
        <v>6.9483236641712972E-14</v>
      </c>
      <c r="K358">
        <f t="shared" si="21"/>
        <v>1.146640120852904E-13</v>
      </c>
      <c r="L358">
        <f t="shared" si="22"/>
        <v>0</v>
      </c>
      <c r="M358" t="str">
        <f t="shared" si="23"/>
        <v>no</v>
      </c>
    </row>
    <row r="359" spans="1:13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  <c r="J359">
        <f t="shared" si="20"/>
        <v>1.9017002528761382E-16</v>
      </c>
      <c r="K359">
        <f t="shared" si="21"/>
        <v>3.3288504323194421E-18</v>
      </c>
      <c r="L359">
        <f t="shared" si="22"/>
        <v>1</v>
      </c>
      <c r="M359" t="str">
        <f t="shared" si="23"/>
        <v>right</v>
      </c>
    </row>
    <row r="360" spans="1:13" hidden="1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  <c r="J360">
        <f t="shared" si="20"/>
        <v>1.3389774303399657E-14</v>
      </c>
      <c r="K360">
        <f t="shared" si="21"/>
        <v>7.803139725872694E-15</v>
      </c>
      <c r="L360">
        <f t="shared" si="22"/>
        <v>1</v>
      </c>
      <c r="M360" t="str">
        <f t="shared" si="23"/>
        <v>no</v>
      </c>
    </row>
    <row r="361" spans="1:13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  <c r="J361">
        <f t="shared" si="20"/>
        <v>3.004777232812692E-14</v>
      </c>
      <c r="K361">
        <f t="shared" si="21"/>
        <v>5.0437107120751516E-16</v>
      </c>
      <c r="L361">
        <f t="shared" si="22"/>
        <v>1</v>
      </c>
      <c r="M361" t="str">
        <f t="shared" si="23"/>
        <v>right</v>
      </c>
    </row>
    <row r="362" spans="1:13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  <c r="J362">
        <f t="shared" si="20"/>
        <v>4.9061037277272615E-14</v>
      </c>
      <c r="K362">
        <f t="shared" si="21"/>
        <v>1.1704164079382785E-15</v>
      </c>
      <c r="L362">
        <f t="shared" si="22"/>
        <v>1</v>
      </c>
      <c r="M362" t="str">
        <f t="shared" si="23"/>
        <v>right</v>
      </c>
    </row>
    <row r="363" spans="1:13" hidden="1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  <c r="J363">
        <f t="shared" si="20"/>
        <v>1.0027957135308592E-14</v>
      </c>
      <c r="K363">
        <f t="shared" si="21"/>
        <v>6.4579741287450694E-15</v>
      </c>
      <c r="L363">
        <f t="shared" si="22"/>
        <v>1</v>
      </c>
      <c r="M363" t="str">
        <f t="shared" si="23"/>
        <v>no</v>
      </c>
    </row>
    <row r="364" spans="1:13" hidden="1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  <c r="J364">
        <f t="shared" si="20"/>
        <v>1.7138942451751145E-15</v>
      </c>
      <c r="K364">
        <f t="shared" si="21"/>
        <v>1.3883110747988204E-15</v>
      </c>
      <c r="L364">
        <f t="shared" si="22"/>
        <v>1</v>
      </c>
      <c r="M364" t="str">
        <f t="shared" si="23"/>
        <v>no</v>
      </c>
    </row>
    <row r="365" spans="1:13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  <c r="J365">
        <f t="shared" si="20"/>
        <v>7.4463155569365769E-15</v>
      </c>
      <c r="K365">
        <f t="shared" si="21"/>
        <v>3.5436211157021154E-15</v>
      </c>
      <c r="L365">
        <f t="shared" si="22"/>
        <v>1</v>
      </c>
      <c r="M365" t="str">
        <f t="shared" si="23"/>
        <v>right</v>
      </c>
    </row>
    <row r="366" spans="1:13" hidden="1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  <c r="J366">
        <f t="shared" si="20"/>
        <v>2.8266598002395182E-13</v>
      </c>
      <c r="K366">
        <f t="shared" si="21"/>
        <v>1.3623126731670985E-13</v>
      </c>
      <c r="L366">
        <f t="shared" si="22"/>
        <v>1</v>
      </c>
      <c r="M366" t="str">
        <f t="shared" si="23"/>
        <v>no</v>
      </c>
    </row>
    <row r="367" spans="1:13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  <c r="J367">
        <f t="shared" si="20"/>
        <v>2.4683262691842704E-13</v>
      </c>
      <c r="K367">
        <f t="shared" si="21"/>
        <v>2.8540939895574739E-12</v>
      </c>
      <c r="L367">
        <f t="shared" si="22"/>
        <v>0</v>
      </c>
      <c r="M367" t="str">
        <f t="shared" si="23"/>
        <v>right</v>
      </c>
    </row>
    <row r="368" spans="1:13" hidden="1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  <c r="J368">
        <f t="shared" si="20"/>
        <v>1.2298115565762875E-13</v>
      </c>
      <c r="K368">
        <f t="shared" si="21"/>
        <v>1.1467687788488688E-12</v>
      </c>
      <c r="L368">
        <f t="shared" si="22"/>
        <v>0</v>
      </c>
      <c r="M368" t="str">
        <f t="shared" si="23"/>
        <v>no</v>
      </c>
    </row>
    <row r="369" spans="1:13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  <c r="J369">
        <f t="shared" si="20"/>
        <v>5.462460968021405E-15</v>
      </c>
      <c r="K369">
        <f t="shared" si="21"/>
        <v>7.3175896365581316E-13</v>
      </c>
      <c r="L369">
        <f t="shared" si="22"/>
        <v>0</v>
      </c>
      <c r="M369" t="str">
        <f t="shared" si="23"/>
        <v>right</v>
      </c>
    </row>
    <row r="370" spans="1:13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  <c r="J370">
        <f t="shared" si="20"/>
        <v>2.0601442617214334E-14</v>
      </c>
      <c r="K370">
        <f t="shared" si="21"/>
        <v>1.3774130251659873E-12</v>
      </c>
      <c r="L370">
        <f t="shared" si="22"/>
        <v>0</v>
      </c>
      <c r="M370" t="str">
        <f t="shared" si="23"/>
        <v>right</v>
      </c>
    </row>
    <row r="371" spans="1:13" hidden="1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  <c r="J371">
        <f t="shared" si="20"/>
        <v>9.8820968604561545E-14</v>
      </c>
      <c r="K371">
        <f t="shared" si="21"/>
        <v>1.5037535559002034E-13</v>
      </c>
      <c r="L371">
        <f t="shared" si="22"/>
        <v>0</v>
      </c>
      <c r="M371" t="str">
        <f t="shared" si="23"/>
        <v>no</v>
      </c>
    </row>
    <row r="372" spans="1:13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  <c r="J372">
        <f t="shared" si="20"/>
        <v>3.1036361608547637E-19</v>
      </c>
      <c r="K372">
        <f t="shared" si="21"/>
        <v>6.1784025605634662E-25</v>
      </c>
      <c r="L372">
        <f t="shared" si="22"/>
        <v>1</v>
      </c>
      <c r="M372" t="str">
        <f t="shared" si="23"/>
        <v>right</v>
      </c>
    </row>
    <row r="373" spans="1:13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  <c r="J373">
        <f t="shared" si="20"/>
        <v>6.2218800734583833E-21</v>
      </c>
      <c r="K373">
        <f t="shared" si="21"/>
        <v>7.4721211795330885E-20</v>
      </c>
      <c r="L373">
        <f t="shared" si="22"/>
        <v>0</v>
      </c>
      <c r="M373" t="str">
        <f t="shared" si="23"/>
        <v>right</v>
      </c>
    </row>
    <row r="374" spans="1:13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  <c r="J374">
        <f t="shared" si="20"/>
        <v>2.9136439982680634E-14</v>
      </c>
      <c r="K374">
        <f t="shared" si="21"/>
        <v>1.0801659795154917E-12</v>
      </c>
      <c r="L374">
        <f t="shared" si="22"/>
        <v>0</v>
      </c>
      <c r="M374" t="str">
        <f t="shared" si="23"/>
        <v>right</v>
      </c>
    </row>
    <row r="375" spans="1:13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  <c r="J375">
        <f t="shared" si="20"/>
        <v>7.8989998840475191E-14</v>
      </c>
      <c r="K375">
        <f t="shared" si="21"/>
        <v>1.1394524272522352E-12</v>
      </c>
      <c r="L375">
        <f t="shared" si="22"/>
        <v>0</v>
      </c>
      <c r="M375" t="str">
        <f t="shared" si="23"/>
        <v>right</v>
      </c>
    </row>
    <row r="376" spans="1:13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  <c r="J376">
        <f t="shared" si="20"/>
        <v>1.1405710484250399E-13</v>
      </c>
      <c r="K376">
        <f t="shared" si="21"/>
        <v>2.2737228372498359E-13</v>
      </c>
      <c r="L376">
        <f t="shared" si="22"/>
        <v>0</v>
      </c>
      <c r="M376" t="str">
        <f t="shared" si="23"/>
        <v>right</v>
      </c>
    </row>
    <row r="377" spans="1:13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  <c r="J377">
        <f t="shared" si="20"/>
        <v>2.8379146224259685E-15</v>
      </c>
      <c r="K377">
        <f t="shared" si="21"/>
        <v>1.4502609113338995E-17</v>
      </c>
      <c r="L377">
        <f t="shared" si="22"/>
        <v>1</v>
      </c>
      <c r="M377" t="str">
        <f t="shared" si="23"/>
        <v>right</v>
      </c>
    </row>
    <row r="378" spans="1:13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  <c r="J378">
        <f t="shared" si="20"/>
        <v>1.7941033771664959E-14</v>
      </c>
      <c r="K378">
        <f t="shared" si="21"/>
        <v>1.2675579644841197E-12</v>
      </c>
      <c r="L378">
        <f t="shared" si="22"/>
        <v>0</v>
      </c>
      <c r="M378" t="str">
        <f t="shared" si="23"/>
        <v>right</v>
      </c>
    </row>
    <row r="379" spans="1:13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  <c r="J379">
        <f t="shared" si="20"/>
        <v>3.3805928025266279E-14</v>
      </c>
      <c r="K379">
        <f t="shared" si="21"/>
        <v>7.5030976292285956E-13</v>
      </c>
      <c r="L379">
        <f t="shared" si="22"/>
        <v>0</v>
      </c>
      <c r="M379" t="str">
        <f t="shared" si="23"/>
        <v>right</v>
      </c>
    </row>
    <row r="380" spans="1:13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  <c r="J380">
        <f t="shared" si="20"/>
        <v>3.9778035010713396E-14</v>
      </c>
      <c r="K380">
        <f t="shared" si="21"/>
        <v>2.2614308211110009E-14</v>
      </c>
      <c r="L380">
        <f t="shared" si="22"/>
        <v>1</v>
      </c>
      <c r="M380" t="str">
        <f t="shared" si="23"/>
        <v>right</v>
      </c>
    </row>
    <row r="381" spans="1:13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  <c r="J381">
        <f t="shared" si="20"/>
        <v>8.4791053969259454E-15</v>
      </c>
      <c r="K381">
        <f t="shared" si="21"/>
        <v>8.7222375290827859E-15</v>
      </c>
      <c r="L381">
        <f t="shared" si="22"/>
        <v>0</v>
      </c>
      <c r="M381" t="str">
        <f t="shared" si="23"/>
        <v>right</v>
      </c>
    </row>
    <row r="382" spans="1:13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  <c r="J382">
        <f t="shared" si="20"/>
        <v>1.0079091580314711E-13</v>
      </c>
      <c r="K382">
        <f t="shared" si="21"/>
        <v>1.3533184595662897E-12</v>
      </c>
      <c r="L382">
        <f t="shared" si="22"/>
        <v>0</v>
      </c>
      <c r="M382" t="str">
        <f t="shared" si="23"/>
        <v>right</v>
      </c>
    </row>
    <row r="383" spans="1:13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  <c r="J383">
        <f t="shared" si="20"/>
        <v>5.7474482677910643E-15</v>
      </c>
      <c r="K383">
        <f t="shared" si="21"/>
        <v>6.9155515799190733E-13</v>
      </c>
      <c r="L383">
        <f t="shared" si="22"/>
        <v>0</v>
      </c>
      <c r="M383" t="str">
        <f t="shared" si="23"/>
        <v>right</v>
      </c>
    </row>
    <row r="384" spans="1:13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  <c r="J384">
        <f t="shared" si="20"/>
        <v>1.6091759138734979E-14</v>
      </c>
      <c r="K384">
        <f t="shared" si="21"/>
        <v>2.1932847376150442E-13</v>
      </c>
      <c r="L384">
        <f t="shared" si="22"/>
        <v>0</v>
      </c>
      <c r="M384" t="str">
        <f t="shared" si="23"/>
        <v>right</v>
      </c>
    </row>
    <row r="385" spans="1:13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  <c r="J385">
        <f t="shared" si="20"/>
        <v>4.8897358957715655E-15</v>
      </c>
      <c r="K385">
        <f t="shared" si="21"/>
        <v>4.8294495570656167E-14</v>
      </c>
      <c r="L385">
        <f t="shared" si="22"/>
        <v>0</v>
      </c>
      <c r="M385" t="str">
        <f t="shared" si="23"/>
        <v>right</v>
      </c>
    </row>
    <row r="386" spans="1:13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  <c r="J386">
        <f t="shared" si="20"/>
        <v>6.6675993256373037E-14</v>
      </c>
      <c r="K386">
        <f t="shared" si="21"/>
        <v>1.8972555402193496E-12</v>
      </c>
      <c r="L386">
        <f t="shared" si="22"/>
        <v>0</v>
      </c>
      <c r="M386" t="str">
        <f t="shared" si="23"/>
        <v>right</v>
      </c>
    </row>
    <row r="387" spans="1:13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  <c r="J387">
        <f t="shared" ref="J387:J450" si="24">$S$1*_xlfn.NORM.DIST(A387,$R$6,$R$10,FALSE)*_xlfn.NORM.DIST(B387,$S$6,$S$10,FALSE)*_xlfn.NORM.DIST(C387,$T$6,$T$10,FALSE)*_xlfn.NORM.DIST(D387,$U$6,$U$10,FALSE)*_xlfn.NORM.DIST(E387,$V$6,$V$10,FALSE)*_xlfn.NORM.DIST(F387,$W$6,$W$10,FALSE)*_xlfn.NORM.DIST(G387,$X$6,$X$10,FALSE)*_xlfn.NORM.DIST(H387,$Y$6,$Y$10,FALSE)</f>
        <v>2.0007435298323777E-14</v>
      </c>
      <c r="K387">
        <f t="shared" ref="K387:K450" si="25">$S$2*_xlfn.NORM.DIST(A387,$R$5,$R$9,FALSE)*_xlfn.NORM.DIST(B387,$S$5,$S$9,FALSE)*_xlfn.NORM.DIST(C387,$T$5,$T$9,FALSE)*_xlfn.NORM.DIST(D387,$U$5,$U$9,FALSE)*_xlfn.NORM.DIST(E387,$V$5,$V$9,FALSE)*_xlfn.NORM.DIST(F387,$W$5,$W$9,FALSE)*_xlfn.NORM.DIST(G387,$X$5,$X$9,FALSE)*_xlfn.NORM.DIST(H387,$Y$5,$Y$9,FALSE)</f>
        <v>1.1376207410086134E-12</v>
      </c>
      <c r="L387">
        <f t="shared" ref="L387:L450" si="26">IF(J387&gt;K387,1,0)</f>
        <v>0</v>
      </c>
      <c r="M387" t="str">
        <f t="shared" ref="M387:M450" si="27">IF(I387=L387,"right","no")</f>
        <v>right</v>
      </c>
    </row>
    <row r="388" spans="1:13" hidden="1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  <c r="J388">
        <f t="shared" si="24"/>
        <v>4.8518913875426287E-13</v>
      </c>
      <c r="K388">
        <f t="shared" si="25"/>
        <v>2.3618734635212723E-12</v>
      </c>
      <c r="L388">
        <f t="shared" si="26"/>
        <v>0</v>
      </c>
      <c r="M388" t="str">
        <f t="shared" si="27"/>
        <v>no</v>
      </c>
    </row>
    <row r="389" spans="1:13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  <c r="J389">
        <f t="shared" si="24"/>
        <v>2.5945413655391921E-14</v>
      </c>
      <c r="K389">
        <f t="shared" si="25"/>
        <v>1.7588021595188845E-14</v>
      </c>
      <c r="L389">
        <f t="shared" si="26"/>
        <v>1</v>
      </c>
      <c r="M389" t="str">
        <f t="shared" si="27"/>
        <v>right</v>
      </c>
    </row>
    <row r="390" spans="1:13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  <c r="J390">
        <f t="shared" si="24"/>
        <v>5.3706484627984539E-14</v>
      </c>
      <c r="K390">
        <f t="shared" si="25"/>
        <v>1.079858515687899E-14</v>
      </c>
      <c r="L390">
        <f t="shared" si="26"/>
        <v>1</v>
      </c>
      <c r="M390" t="str">
        <f t="shared" si="27"/>
        <v>right</v>
      </c>
    </row>
    <row r="391" spans="1:13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  <c r="J391">
        <f t="shared" si="24"/>
        <v>1.4422495274287752E-13</v>
      </c>
      <c r="K391">
        <f t="shared" si="25"/>
        <v>1.2835971746892643E-12</v>
      </c>
      <c r="L391">
        <f t="shared" si="26"/>
        <v>0</v>
      </c>
      <c r="M391" t="str">
        <f t="shared" si="27"/>
        <v>right</v>
      </c>
    </row>
    <row r="392" spans="1:13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  <c r="J392">
        <f t="shared" si="24"/>
        <v>1.5465883963364166E-13</v>
      </c>
      <c r="K392">
        <f t="shared" si="25"/>
        <v>1.0721979918078719E-12</v>
      </c>
      <c r="L392">
        <f t="shared" si="26"/>
        <v>0</v>
      </c>
      <c r="M392" t="str">
        <f t="shared" si="27"/>
        <v>right</v>
      </c>
    </row>
    <row r="393" spans="1:13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  <c r="J393">
        <f t="shared" si="24"/>
        <v>5.2883965063500498E-14</v>
      </c>
      <c r="K393">
        <f t="shared" si="25"/>
        <v>2.1115449533608038E-14</v>
      </c>
      <c r="L393">
        <f t="shared" si="26"/>
        <v>1</v>
      </c>
      <c r="M393" t="str">
        <f t="shared" si="27"/>
        <v>right</v>
      </c>
    </row>
    <row r="394" spans="1:13" hidden="1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  <c r="J394">
        <f t="shared" si="24"/>
        <v>3.5201887157442023E-15</v>
      </c>
      <c r="K394">
        <f t="shared" si="25"/>
        <v>3.3986765258944125E-15</v>
      </c>
      <c r="L394">
        <f t="shared" si="26"/>
        <v>1</v>
      </c>
      <c r="M394" t="str">
        <f t="shared" si="27"/>
        <v>no</v>
      </c>
    </row>
    <row r="395" spans="1:13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  <c r="J395">
        <f t="shared" si="24"/>
        <v>1.2545891491721855E-13</v>
      </c>
      <c r="K395">
        <f t="shared" si="25"/>
        <v>2.7028743680669339E-12</v>
      </c>
      <c r="L395">
        <f t="shared" si="26"/>
        <v>0</v>
      </c>
      <c r="M395" t="str">
        <f t="shared" si="27"/>
        <v>right</v>
      </c>
    </row>
    <row r="396" spans="1:13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  <c r="J396">
        <f t="shared" si="24"/>
        <v>1.9731743238587834E-13</v>
      </c>
      <c r="K396">
        <f t="shared" si="25"/>
        <v>1.5062272545823148E-13</v>
      </c>
      <c r="L396">
        <f t="shared" si="26"/>
        <v>1</v>
      </c>
      <c r="M396" t="str">
        <f t="shared" si="27"/>
        <v>right</v>
      </c>
    </row>
    <row r="397" spans="1:13" hidden="1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  <c r="J397">
        <f t="shared" si="24"/>
        <v>1.6669549156106274E-15</v>
      </c>
      <c r="K397">
        <f t="shared" si="25"/>
        <v>1.8132676904177795E-16</v>
      </c>
      <c r="L397">
        <f t="shared" si="26"/>
        <v>1</v>
      </c>
      <c r="M397" t="str">
        <f t="shared" si="27"/>
        <v>no</v>
      </c>
    </row>
    <row r="398" spans="1:13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  <c r="J398">
        <f t="shared" si="24"/>
        <v>4.3792162923837983E-14</v>
      </c>
      <c r="K398">
        <f t="shared" si="25"/>
        <v>3.6897753593770957E-13</v>
      </c>
      <c r="L398">
        <f t="shared" si="26"/>
        <v>0</v>
      </c>
      <c r="M398" t="str">
        <f t="shared" si="27"/>
        <v>right</v>
      </c>
    </row>
    <row r="399" spans="1:13" hidden="1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  <c r="J399">
        <f t="shared" si="24"/>
        <v>4.872983046476956E-14</v>
      </c>
      <c r="K399">
        <f t="shared" si="25"/>
        <v>3.9283857946150239E-13</v>
      </c>
      <c r="L399">
        <f t="shared" si="26"/>
        <v>0</v>
      </c>
      <c r="M399" t="str">
        <f t="shared" si="27"/>
        <v>no</v>
      </c>
    </row>
    <row r="400" spans="1:13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  <c r="J400">
        <f t="shared" si="24"/>
        <v>4.5757823857529472E-15</v>
      </c>
      <c r="K400">
        <f t="shared" si="25"/>
        <v>5.2505974029742511E-13</v>
      </c>
      <c r="L400">
        <f t="shared" si="26"/>
        <v>0</v>
      </c>
      <c r="M400" t="str">
        <f t="shared" si="27"/>
        <v>right</v>
      </c>
    </row>
    <row r="401" spans="1:13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  <c r="J401">
        <f t="shared" si="24"/>
        <v>6.7202834181905936E-14</v>
      </c>
      <c r="K401">
        <f t="shared" si="25"/>
        <v>1.5233504776905332E-14</v>
      </c>
      <c r="L401">
        <f t="shared" si="26"/>
        <v>1</v>
      </c>
      <c r="M401" t="str">
        <f t="shared" si="27"/>
        <v>right</v>
      </c>
    </row>
    <row r="402" spans="1:13" hidden="1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  <c r="J402">
        <f t="shared" si="24"/>
        <v>5.5458792845845025E-14</v>
      </c>
      <c r="K402">
        <f t="shared" si="25"/>
        <v>1.1718991261931327E-12</v>
      </c>
      <c r="L402">
        <f t="shared" si="26"/>
        <v>0</v>
      </c>
      <c r="M402" t="str">
        <f t="shared" si="27"/>
        <v>no</v>
      </c>
    </row>
    <row r="403" spans="1:13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  <c r="J403">
        <f t="shared" si="24"/>
        <v>1.5315508017532922E-14</v>
      </c>
      <c r="K403">
        <f t="shared" si="25"/>
        <v>4.7788745497473291E-14</v>
      </c>
      <c r="L403">
        <f t="shared" si="26"/>
        <v>0</v>
      </c>
      <c r="M403" t="str">
        <f t="shared" si="27"/>
        <v>right</v>
      </c>
    </row>
    <row r="404" spans="1:13" hidden="1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  <c r="J404">
        <f t="shared" si="24"/>
        <v>3.7954258498187657E-13</v>
      </c>
      <c r="K404">
        <f t="shared" si="25"/>
        <v>5.9474510270023121E-13</v>
      </c>
      <c r="L404">
        <f t="shared" si="26"/>
        <v>0</v>
      </c>
      <c r="M404" t="str">
        <f t="shared" si="27"/>
        <v>no</v>
      </c>
    </row>
    <row r="405" spans="1:13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  <c r="J405">
        <f t="shared" si="24"/>
        <v>2.7235720041926395E-14</v>
      </c>
      <c r="K405">
        <f t="shared" si="25"/>
        <v>1.8524957385139133E-13</v>
      </c>
      <c r="L405">
        <f t="shared" si="26"/>
        <v>0</v>
      </c>
      <c r="M405" t="str">
        <f t="shared" si="27"/>
        <v>right</v>
      </c>
    </row>
    <row r="406" spans="1:13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  <c r="J406">
        <f t="shared" si="24"/>
        <v>1.2140892215822713E-13</v>
      </c>
      <c r="K406">
        <f t="shared" si="25"/>
        <v>6.456027482465129E-14</v>
      </c>
      <c r="L406">
        <f t="shared" si="26"/>
        <v>1</v>
      </c>
      <c r="M406" t="str">
        <f t="shared" si="27"/>
        <v>right</v>
      </c>
    </row>
    <row r="407" spans="1:13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  <c r="J407">
        <f t="shared" si="24"/>
        <v>1.1300689714856482E-13</v>
      </c>
      <c r="K407">
        <f t="shared" si="25"/>
        <v>3.4659646322826693E-13</v>
      </c>
      <c r="L407">
        <f t="shared" si="26"/>
        <v>0</v>
      </c>
      <c r="M407" t="str">
        <f t="shared" si="27"/>
        <v>right</v>
      </c>
    </row>
    <row r="408" spans="1:13" hidden="1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  <c r="J408">
        <f t="shared" si="24"/>
        <v>1.1654417307498558E-13</v>
      </c>
      <c r="K408">
        <f t="shared" si="25"/>
        <v>9.0357574567259992E-13</v>
      </c>
      <c r="L408">
        <f t="shared" si="26"/>
        <v>0</v>
      </c>
      <c r="M408" t="str">
        <f t="shared" si="27"/>
        <v>no</v>
      </c>
    </row>
    <row r="409" spans="1:13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  <c r="J409">
        <f t="shared" si="24"/>
        <v>5.9156422193861215E-15</v>
      </c>
      <c r="K409">
        <f t="shared" si="25"/>
        <v>4.979609007439968E-13</v>
      </c>
      <c r="L409">
        <f t="shared" si="26"/>
        <v>0</v>
      </c>
      <c r="M409" t="str">
        <f t="shared" si="27"/>
        <v>right</v>
      </c>
    </row>
    <row r="410" spans="1:13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  <c r="J410">
        <f t="shared" si="24"/>
        <v>5.7306663676939761E-15</v>
      </c>
      <c r="K410">
        <f t="shared" si="25"/>
        <v>6.577430397608053E-17</v>
      </c>
      <c r="L410">
        <f t="shared" si="26"/>
        <v>1</v>
      </c>
      <c r="M410" t="str">
        <f t="shared" si="27"/>
        <v>right</v>
      </c>
    </row>
    <row r="411" spans="1:13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  <c r="J411">
        <f t="shared" si="24"/>
        <v>1.2816125126225275E-16</v>
      </c>
      <c r="K411">
        <f t="shared" si="25"/>
        <v>1.3356218604221988E-20</v>
      </c>
      <c r="L411">
        <f t="shared" si="26"/>
        <v>1</v>
      </c>
      <c r="M411" t="str">
        <f t="shared" si="27"/>
        <v>right</v>
      </c>
    </row>
    <row r="412" spans="1:13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  <c r="J412">
        <f t="shared" si="24"/>
        <v>1.0655950359384925E-13</v>
      </c>
      <c r="K412">
        <f t="shared" si="25"/>
        <v>3.8276897385934354E-13</v>
      </c>
      <c r="L412">
        <f t="shared" si="26"/>
        <v>0</v>
      </c>
      <c r="M412" t="str">
        <f t="shared" si="27"/>
        <v>right</v>
      </c>
    </row>
    <row r="413" spans="1:13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  <c r="J413">
        <f t="shared" si="24"/>
        <v>1.756764026384638E-13</v>
      </c>
      <c r="K413">
        <f t="shared" si="25"/>
        <v>1.5498506383931431E-12</v>
      </c>
      <c r="L413">
        <f t="shared" si="26"/>
        <v>0</v>
      </c>
      <c r="M413" t="str">
        <f t="shared" si="27"/>
        <v>right</v>
      </c>
    </row>
    <row r="414" spans="1:13" hidden="1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  <c r="J414">
        <f t="shared" si="24"/>
        <v>1.454319194783892E-14</v>
      </c>
      <c r="K414">
        <f t="shared" si="25"/>
        <v>1.6038073255156766E-15</v>
      </c>
      <c r="L414">
        <f t="shared" si="26"/>
        <v>1</v>
      </c>
      <c r="M414" t="str">
        <f t="shared" si="27"/>
        <v>no</v>
      </c>
    </row>
    <row r="415" spans="1:13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  <c r="J415">
        <f t="shared" si="24"/>
        <v>7.0289647014977594E-14</v>
      </c>
      <c r="K415">
        <f t="shared" si="25"/>
        <v>1.0739640137258747E-12</v>
      </c>
      <c r="L415">
        <f t="shared" si="26"/>
        <v>0</v>
      </c>
      <c r="M415" t="str">
        <f t="shared" si="27"/>
        <v>right</v>
      </c>
    </row>
    <row r="416" spans="1:13" hidden="1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  <c r="J416">
        <f t="shared" si="24"/>
        <v>9.4562775738245585E-14</v>
      </c>
      <c r="K416">
        <f t="shared" si="25"/>
        <v>3.7624078120221085E-13</v>
      </c>
      <c r="L416">
        <f t="shared" si="26"/>
        <v>0</v>
      </c>
      <c r="M416" t="str">
        <f t="shared" si="27"/>
        <v>no</v>
      </c>
    </row>
    <row r="417" spans="1:13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  <c r="J417">
        <f t="shared" si="24"/>
        <v>3.0172732747680347E-15</v>
      </c>
      <c r="K417">
        <f t="shared" si="25"/>
        <v>1.8519840699996148E-17</v>
      </c>
      <c r="L417">
        <f t="shared" si="26"/>
        <v>1</v>
      </c>
      <c r="M417" t="str">
        <f t="shared" si="27"/>
        <v>right</v>
      </c>
    </row>
    <row r="418" spans="1:13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  <c r="J418">
        <f t="shared" si="24"/>
        <v>1.3542027768239249E-14</v>
      </c>
      <c r="K418">
        <f t="shared" si="25"/>
        <v>2.0067794368904729E-13</v>
      </c>
      <c r="L418">
        <f t="shared" si="26"/>
        <v>0</v>
      </c>
      <c r="M418" t="str">
        <f t="shared" si="27"/>
        <v>right</v>
      </c>
    </row>
    <row r="419" spans="1:13" hidden="1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  <c r="J419">
        <f t="shared" si="24"/>
        <v>5.4120299811985378E-13</v>
      </c>
      <c r="K419">
        <f t="shared" si="25"/>
        <v>5.4281175295920864E-13</v>
      </c>
      <c r="L419">
        <f t="shared" si="26"/>
        <v>0</v>
      </c>
      <c r="M419" t="str">
        <f t="shared" si="27"/>
        <v>no</v>
      </c>
    </row>
    <row r="420" spans="1:13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  <c r="J420">
        <f t="shared" si="24"/>
        <v>1.764480605950475E-15</v>
      </c>
      <c r="K420">
        <f t="shared" si="25"/>
        <v>2.1607793573057819E-13</v>
      </c>
      <c r="L420">
        <f t="shared" si="26"/>
        <v>0</v>
      </c>
      <c r="M420" t="str">
        <f t="shared" si="27"/>
        <v>right</v>
      </c>
    </row>
    <row r="421" spans="1:13" hidden="1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  <c r="J421">
        <f t="shared" si="24"/>
        <v>1.7975749323105047E-13</v>
      </c>
      <c r="K421">
        <f t="shared" si="25"/>
        <v>2.4651587458103105E-12</v>
      </c>
      <c r="L421">
        <f t="shared" si="26"/>
        <v>0</v>
      </c>
      <c r="M421" t="str">
        <f t="shared" si="27"/>
        <v>no</v>
      </c>
    </row>
    <row r="422" spans="1:13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  <c r="J422">
        <f t="shared" si="24"/>
        <v>4.0420890369579356E-14</v>
      </c>
      <c r="K422">
        <f t="shared" si="25"/>
        <v>7.3043588234671524E-14</v>
      </c>
      <c r="L422">
        <f t="shared" si="26"/>
        <v>0</v>
      </c>
      <c r="M422" t="str">
        <f t="shared" si="27"/>
        <v>right</v>
      </c>
    </row>
    <row r="423" spans="1:13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  <c r="J423">
        <f t="shared" si="24"/>
        <v>3.9546694820689399E-14</v>
      </c>
      <c r="K423">
        <f t="shared" si="25"/>
        <v>2.70813811826143E-12</v>
      </c>
      <c r="L423">
        <f t="shared" si="26"/>
        <v>0</v>
      </c>
      <c r="M423" t="str">
        <f t="shared" si="27"/>
        <v>right</v>
      </c>
    </row>
    <row r="424" spans="1:13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  <c r="J424">
        <f t="shared" si="24"/>
        <v>2.0979777568948934E-14</v>
      </c>
      <c r="K424">
        <f t="shared" si="25"/>
        <v>1.9738044315659317E-13</v>
      </c>
      <c r="L424">
        <f t="shared" si="26"/>
        <v>0</v>
      </c>
      <c r="M424" t="str">
        <f t="shared" si="27"/>
        <v>right</v>
      </c>
    </row>
    <row r="425" spans="1:13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  <c r="J425">
        <f t="shared" si="24"/>
        <v>1.129803169198134E-13</v>
      </c>
      <c r="K425">
        <f t="shared" si="25"/>
        <v>3.1357202901283753E-12</v>
      </c>
      <c r="L425">
        <f t="shared" si="26"/>
        <v>0</v>
      </c>
      <c r="M425" t="str">
        <f t="shared" si="27"/>
        <v>right</v>
      </c>
    </row>
    <row r="426" spans="1:13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  <c r="J426">
        <f t="shared" si="24"/>
        <v>2.4052189625724916E-13</v>
      </c>
      <c r="K426">
        <f t="shared" si="25"/>
        <v>3.0033557727049951E-14</v>
      </c>
      <c r="L426">
        <f t="shared" si="26"/>
        <v>1</v>
      </c>
      <c r="M426" t="str">
        <f t="shared" si="27"/>
        <v>right</v>
      </c>
    </row>
    <row r="427" spans="1:13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  <c r="J427">
        <f t="shared" si="24"/>
        <v>7.0700899397104148E-14</v>
      </c>
      <c r="K427">
        <f t="shared" si="25"/>
        <v>2.8566118376368908E-15</v>
      </c>
      <c r="L427">
        <f t="shared" si="26"/>
        <v>1</v>
      </c>
      <c r="M427" t="str">
        <f t="shared" si="27"/>
        <v>right</v>
      </c>
    </row>
    <row r="428" spans="1:13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  <c r="J428">
        <f t="shared" si="24"/>
        <v>7.8396847198668094E-22</v>
      </c>
      <c r="K428">
        <f t="shared" si="25"/>
        <v>2.5595145374535784E-19</v>
      </c>
      <c r="L428">
        <f t="shared" si="26"/>
        <v>0</v>
      </c>
      <c r="M428" t="str">
        <f t="shared" si="27"/>
        <v>right</v>
      </c>
    </row>
    <row r="429" spans="1:13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  <c r="J429">
        <f t="shared" si="24"/>
        <v>1.7570155313187189E-13</v>
      </c>
      <c r="K429">
        <f t="shared" si="25"/>
        <v>3.6443957815972491E-14</v>
      </c>
      <c r="L429">
        <f t="shared" si="26"/>
        <v>1</v>
      </c>
      <c r="M429" t="str">
        <f t="shared" si="27"/>
        <v>right</v>
      </c>
    </row>
    <row r="430" spans="1:13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  <c r="J430">
        <f t="shared" si="24"/>
        <v>3.4066653685634874E-14</v>
      </c>
      <c r="K430">
        <f t="shared" si="25"/>
        <v>4.3585334050181444E-14</v>
      </c>
      <c r="L430">
        <f t="shared" si="26"/>
        <v>0</v>
      </c>
      <c r="M430" t="str">
        <f t="shared" si="27"/>
        <v>right</v>
      </c>
    </row>
    <row r="431" spans="1:13" hidden="1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  <c r="J431">
        <f t="shared" si="24"/>
        <v>9.7240652427191499E-14</v>
      </c>
      <c r="K431">
        <f t="shared" si="25"/>
        <v>6.4420731951810304E-13</v>
      </c>
      <c r="L431">
        <f t="shared" si="26"/>
        <v>0</v>
      </c>
      <c r="M431" t="str">
        <f t="shared" si="27"/>
        <v>no</v>
      </c>
    </row>
    <row r="432" spans="1:13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  <c r="J432">
        <f t="shared" si="24"/>
        <v>2.2833718202807609E-17</v>
      </c>
      <c r="K432">
        <f t="shared" si="25"/>
        <v>3.7798166937375323E-16</v>
      </c>
      <c r="L432">
        <f t="shared" si="26"/>
        <v>0</v>
      </c>
      <c r="M432" t="str">
        <f t="shared" si="27"/>
        <v>right</v>
      </c>
    </row>
    <row r="433" spans="1:13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  <c r="J433">
        <f t="shared" si="24"/>
        <v>1.8593210251998243E-13</v>
      </c>
      <c r="K433">
        <f t="shared" si="25"/>
        <v>3.4688952196623666E-12</v>
      </c>
      <c r="L433">
        <f t="shared" si="26"/>
        <v>0</v>
      </c>
      <c r="M433" t="str">
        <f t="shared" si="27"/>
        <v>right</v>
      </c>
    </row>
    <row r="434" spans="1:13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  <c r="J434">
        <f t="shared" si="24"/>
        <v>2.3594508385700763E-14</v>
      </c>
      <c r="K434">
        <f t="shared" si="25"/>
        <v>1.4656740212446792E-12</v>
      </c>
      <c r="L434">
        <f t="shared" si="26"/>
        <v>0</v>
      </c>
      <c r="M434" t="str">
        <f t="shared" si="27"/>
        <v>right</v>
      </c>
    </row>
    <row r="435" spans="1:13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  <c r="J435">
        <f t="shared" si="24"/>
        <v>5.2278445937756882E-14</v>
      </c>
      <c r="K435">
        <f t="shared" si="25"/>
        <v>5.6798006163931161E-13</v>
      </c>
      <c r="L435">
        <f t="shared" si="26"/>
        <v>0</v>
      </c>
      <c r="M435" t="str">
        <f t="shared" si="27"/>
        <v>right</v>
      </c>
    </row>
    <row r="436" spans="1:13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  <c r="J436">
        <f t="shared" si="24"/>
        <v>9.4590528876552072E-15</v>
      </c>
      <c r="K436">
        <f t="shared" si="25"/>
        <v>9.2002004154718978E-14</v>
      </c>
      <c r="L436">
        <f t="shared" si="26"/>
        <v>0</v>
      </c>
      <c r="M436" t="str">
        <f t="shared" si="27"/>
        <v>right</v>
      </c>
    </row>
    <row r="437" spans="1:13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  <c r="J437">
        <f t="shared" si="24"/>
        <v>2.1425787825561615E-16</v>
      </c>
      <c r="K437">
        <f t="shared" si="25"/>
        <v>1.0536345320609327E-16</v>
      </c>
      <c r="L437">
        <f t="shared" si="26"/>
        <v>1</v>
      </c>
      <c r="M437" t="str">
        <f t="shared" si="27"/>
        <v>right</v>
      </c>
    </row>
    <row r="438" spans="1:13" hidden="1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  <c r="J438">
        <f t="shared" si="24"/>
        <v>5.7134585950085577E-14</v>
      </c>
      <c r="K438">
        <f t="shared" si="25"/>
        <v>7.096648607728427E-15</v>
      </c>
      <c r="L438">
        <f t="shared" si="26"/>
        <v>1</v>
      </c>
      <c r="M438" t="str">
        <f t="shared" si="27"/>
        <v>no</v>
      </c>
    </row>
    <row r="439" spans="1:13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  <c r="J439">
        <f t="shared" si="24"/>
        <v>1.9027244369714562E-13</v>
      </c>
      <c r="K439">
        <f t="shared" si="25"/>
        <v>6.2682893490510752E-13</v>
      </c>
      <c r="L439">
        <f t="shared" si="26"/>
        <v>0</v>
      </c>
      <c r="M439" t="str">
        <f t="shared" si="27"/>
        <v>right</v>
      </c>
    </row>
    <row r="440" spans="1:13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  <c r="J440">
        <f t="shared" si="24"/>
        <v>2.1458518328129344E-15</v>
      </c>
      <c r="K440">
        <f t="shared" si="25"/>
        <v>4.2418155925438961E-13</v>
      </c>
      <c r="L440">
        <f t="shared" si="26"/>
        <v>0</v>
      </c>
      <c r="M440" t="str">
        <f t="shared" si="27"/>
        <v>right</v>
      </c>
    </row>
    <row r="441" spans="1:13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  <c r="J441">
        <f t="shared" si="24"/>
        <v>1.1032367158261233E-13</v>
      </c>
      <c r="K441">
        <f t="shared" si="25"/>
        <v>3.4809968502969782E-13</v>
      </c>
      <c r="L441">
        <f t="shared" si="26"/>
        <v>0</v>
      </c>
      <c r="M441" t="str">
        <f t="shared" si="27"/>
        <v>right</v>
      </c>
    </row>
    <row r="442" spans="1:13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  <c r="J442">
        <f t="shared" si="24"/>
        <v>3.1026261570108949E-14</v>
      </c>
      <c r="K442">
        <f t="shared" si="25"/>
        <v>2.459255214286957E-15</v>
      </c>
      <c r="L442">
        <f t="shared" si="26"/>
        <v>1</v>
      </c>
      <c r="M442" t="str">
        <f t="shared" si="27"/>
        <v>right</v>
      </c>
    </row>
    <row r="443" spans="1:13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  <c r="J443">
        <f t="shared" si="24"/>
        <v>4.9297755680008907E-14</v>
      </c>
      <c r="K443">
        <f t="shared" si="25"/>
        <v>2.4047366386161488E-12</v>
      </c>
      <c r="L443">
        <f t="shared" si="26"/>
        <v>0</v>
      </c>
      <c r="M443" t="str">
        <f t="shared" si="27"/>
        <v>right</v>
      </c>
    </row>
    <row r="444" spans="1:13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  <c r="J444">
        <f t="shared" si="24"/>
        <v>2.3366224591290097E-13</v>
      </c>
      <c r="K444">
        <f t="shared" si="25"/>
        <v>2.9733897860886671E-12</v>
      </c>
      <c r="L444">
        <f t="shared" si="26"/>
        <v>0</v>
      </c>
      <c r="M444" t="str">
        <f t="shared" si="27"/>
        <v>right</v>
      </c>
    </row>
    <row r="445" spans="1:13" hidden="1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  <c r="J445">
        <f t="shared" si="24"/>
        <v>6.5261474558465158E-14</v>
      </c>
      <c r="K445">
        <f t="shared" si="25"/>
        <v>1.3918356043418764E-13</v>
      </c>
      <c r="L445">
        <f t="shared" si="26"/>
        <v>0</v>
      </c>
      <c r="M445" t="str">
        <f t="shared" si="27"/>
        <v>no</v>
      </c>
    </row>
    <row r="446" spans="1:13" hidden="1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  <c r="J446">
        <f t="shared" si="24"/>
        <v>2.6065421279206823E-13</v>
      </c>
      <c r="K446">
        <f t="shared" si="25"/>
        <v>4.0573987943513954E-12</v>
      </c>
      <c r="L446">
        <f t="shared" si="26"/>
        <v>0</v>
      </c>
      <c r="M446" t="str">
        <f t="shared" si="27"/>
        <v>no</v>
      </c>
    </row>
    <row r="447" spans="1:13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  <c r="J447">
        <f t="shared" si="24"/>
        <v>8.3187198205104421E-23</v>
      </c>
      <c r="K447">
        <f t="shared" si="25"/>
        <v>1.8204755360482519E-28</v>
      </c>
      <c r="L447">
        <f t="shared" si="26"/>
        <v>1</v>
      </c>
      <c r="M447" t="str">
        <f t="shared" si="27"/>
        <v>right</v>
      </c>
    </row>
    <row r="448" spans="1:13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  <c r="J448">
        <f t="shared" si="24"/>
        <v>6.1708220831337583E-14</v>
      </c>
      <c r="K448">
        <f t="shared" si="25"/>
        <v>2.3650272812206144E-12</v>
      </c>
      <c r="L448">
        <f t="shared" si="26"/>
        <v>0</v>
      </c>
      <c r="M448" t="str">
        <f t="shared" si="27"/>
        <v>right</v>
      </c>
    </row>
    <row r="449" spans="1:13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  <c r="J449">
        <f t="shared" si="24"/>
        <v>3.1796731665457453E-14</v>
      </c>
      <c r="K449">
        <f t="shared" si="25"/>
        <v>3.6388088983880488E-13</v>
      </c>
      <c r="L449">
        <f t="shared" si="26"/>
        <v>0</v>
      </c>
      <c r="M449" t="str">
        <f t="shared" si="27"/>
        <v>right</v>
      </c>
    </row>
    <row r="450" spans="1:13" hidden="1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  <c r="J450">
        <f t="shared" si="24"/>
        <v>5.727735387263556E-14</v>
      </c>
      <c r="K450">
        <f t="shared" si="25"/>
        <v>1.1636212135155435E-12</v>
      </c>
      <c r="L450">
        <f t="shared" si="26"/>
        <v>0</v>
      </c>
      <c r="M450" t="str">
        <f t="shared" si="27"/>
        <v>no</v>
      </c>
    </row>
    <row r="451" spans="1:13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  <c r="J451">
        <f t="shared" ref="J451:J514" si="28">$S$1*_xlfn.NORM.DIST(A451,$R$6,$R$10,FALSE)*_xlfn.NORM.DIST(B451,$S$6,$S$10,FALSE)*_xlfn.NORM.DIST(C451,$T$6,$T$10,FALSE)*_xlfn.NORM.DIST(D451,$U$6,$U$10,FALSE)*_xlfn.NORM.DIST(E451,$V$6,$V$10,FALSE)*_xlfn.NORM.DIST(F451,$W$6,$W$10,FALSE)*_xlfn.NORM.DIST(G451,$X$6,$X$10,FALSE)*_xlfn.NORM.DIST(H451,$Y$6,$Y$10,FALSE)</f>
        <v>1.3073344080740353E-13</v>
      </c>
      <c r="K451">
        <f t="shared" ref="K451:K514" si="29">$S$2*_xlfn.NORM.DIST(A451,$R$5,$R$9,FALSE)*_xlfn.NORM.DIST(B451,$S$5,$S$9,FALSE)*_xlfn.NORM.DIST(C451,$T$5,$T$9,FALSE)*_xlfn.NORM.DIST(D451,$U$5,$U$9,FALSE)*_xlfn.NORM.DIST(E451,$V$5,$V$9,FALSE)*_xlfn.NORM.DIST(F451,$W$5,$W$9,FALSE)*_xlfn.NORM.DIST(G451,$X$5,$X$9,FALSE)*_xlfn.NORM.DIST(H451,$Y$5,$Y$9,FALSE)</f>
        <v>2.6430112898430044E-12</v>
      </c>
      <c r="L451">
        <f t="shared" ref="L451:L514" si="30">IF(J451&gt;K451,1,0)</f>
        <v>0</v>
      </c>
      <c r="M451" t="str">
        <f t="shared" ref="M451:M514" si="31">IF(I451=L451,"right","no")</f>
        <v>right</v>
      </c>
    </row>
    <row r="452" spans="1:13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  <c r="J452">
        <f t="shared" si="28"/>
        <v>6.117743822913515E-15</v>
      </c>
      <c r="K452">
        <f t="shared" si="29"/>
        <v>9.4699756398939798E-13</v>
      </c>
      <c r="L452">
        <f t="shared" si="30"/>
        <v>0</v>
      </c>
      <c r="M452" t="str">
        <f t="shared" si="31"/>
        <v>right</v>
      </c>
    </row>
    <row r="453" spans="1:13" hidden="1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  <c r="J453">
        <f t="shared" si="28"/>
        <v>8.3370993287609996E-14</v>
      </c>
      <c r="K453">
        <f t="shared" si="29"/>
        <v>9.5275641548108403E-13</v>
      </c>
      <c r="L453">
        <f t="shared" si="30"/>
        <v>0</v>
      </c>
      <c r="M453" t="str">
        <f t="shared" si="31"/>
        <v>no</v>
      </c>
    </row>
    <row r="454" spans="1:13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  <c r="J454">
        <f t="shared" si="28"/>
        <v>3.3107258556509037E-14</v>
      </c>
      <c r="K454">
        <f t="shared" si="29"/>
        <v>2.9000132838303707E-13</v>
      </c>
      <c r="L454">
        <f t="shared" si="30"/>
        <v>0</v>
      </c>
      <c r="M454" t="str">
        <f t="shared" si="31"/>
        <v>right</v>
      </c>
    </row>
    <row r="455" spans="1:13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  <c r="J455">
        <f t="shared" si="28"/>
        <v>4.6285512227943358E-19</v>
      </c>
      <c r="K455">
        <f t="shared" si="29"/>
        <v>5.2389489184665345E-19</v>
      </c>
      <c r="L455">
        <f t="shared" si="30"/>
        <v>0</v>
      </c>
      <c r="M455" t="str">
        <f t="shared" si="31"/>
        <v>right</v>
      </c>
    </row>
    <row r="456" spans="1:13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  <c r="J456">
        <f t="shared" si="28"/>
        <v>1.1073593404538648E-13</v>
      </c>
      <c r="K456">
        <f t="shared" si="29"/>
        <v>1.6996586264431233E-12</v>
      </c>
      <c r="L456">
        <f t="shared" si="30"/>
        <v>0</v>
      </c>
      <c r="M456" t="str">
        <f t="shared" si="31"/>
        <v>right</v>
      </c>
    </row>
    <row r="457" spans="1:13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  <c r="J457">
        <f t="shared" si="28"/>
        <v>1.2944157288296831E-14</v>
      </c>
      <c r="K457">
        <f t="shared" si="29"/>
        <v>1.9671614968626839E-16</v>
      </c>
      <c r="L457">
        <f t="shared" si="30"/>
        <v>1</v>
      </c>
      <c r="M457" t="str">
        <f t="shared" si="31"/>
        <v>right</v>
      </c>
    </row>
    <row r="458" spans="1:13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  <c r="J458">
        <f t="shared" si="28"/>
        <v>5.7511254978286391E-15</v>
      </c>
      <c r="K458">
        <f t="shared" si="29"/>
        <v>1.4730727189822122E-14</v>
      </c>
      <c r="L458">
        <f t="shared" si="30"/>
        <v>0</v>
      </c>
      <c r="M458" t="str">
        <f t="shared" si="31"/>
        <v>right</v>
      </c>
    </row>
    <row r="459" spans="1:13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  <c r="J459">
        <f t="shared" si="28"/>
        <v>7.6207778187374439E-14</v>
      </c>
      <c r="K459">
        <f t="shared" si="29"/>
        <v>2.632539922043463E-12</v>
      </c>
      <c r="L459">
        <f t="shared" si="30"/>
        <v>0</v>
      </c>
      <c r="M459" t="str">
        <f t="shared" si="31"/>
        <v>right</v>
      </c>
    </row>
    <row r="460" spans="1:13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  <c r="J460">
        <f t="shared" si="28"/>
        <v>1.4610379628628382E-14</v>
      </c>
      <c r="K460">
        <f t="shared" si="29"/>
        <v>1.2809045946443668E-16</v>
      </c>
      <c r="L460">
        <f t="shared" si="30"/>
        <v>1</v>
      </c>
      <c r="M460" t="str">
        <f t="shared" si="31"/>
        <v>right</v>
      </c>
    </row>
    <row r="461" spans="1:13" hidden="1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  <c r="J461">
        <f t="shared" si="28"/>
        <v>6.3564623603006417E-17</v>
      </c>
      <c r="K461">
        <f t="shared" si="29"/>
        <v>4.4171004995278306E-17</v>
      </c>
      <c r="L461">
        <f t="shared" si="30"/>
        <v>1</v>
      </c>
      <c r="M461" t="str">
        <f t="shared" si="31"/>
        <v>no</v>
      </c>
    </row>
    <row r="462" spans="1:13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  <c r="J462">
        <f t="shared" si="28"/>
        <v>3.4171575154559872E-14</v>
      </c>
      <c r="K462">
        <f t="shared" si="29"/>
        <v>1.0036061697660435E-13</v>
      </c>
      <c r="L462">
        <f t="shared" si="30"/>
        <v>0</v>
      </c>
      <c r="M462" t="str">
        <f t="shared" si="31"/>
        <v>right</v>
      </c>
    </row>
    <row r="463" spans="1:13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  <c r="J463">
        <f t="shared" si="28"/>
        <v>1.8891834611304316E-15</v>
      </c>
      <c r="K463">
        <f t="shared" si="29"/>
        <v>2.5485627903146773E-13</v>
      </c>
      <c r="L463">
        <f t="shared" si="30"/>
        <v>0</v>
      </c>
      <c r="M463" t="str">
        <f t="shared" si="31"/>
        <v>right</v>
      </c>
    </row>
    <row r="464" spans="1:13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  <c r="J464">
        <f t="shared" si="28"/>
        <v>4.1878799523176139E-14</v>
      </c>
      <c r="K464">
        <f t="shared" si="29"/>
        <v>1.2759273495498622E-13</v>
      </c>
      <c r="L464">
        <f t="shared" si="30"/>
        <v>0</v>
      </c>
      <c r="M464" t="str">
        <f t="shared" si="31"/>
        <v>right</v>
      </c>
    </row>
    <row r="465" spans="1:13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  <c r="J465">
        <f t="shared" si="28"/>
        <v>7.5833454435959903E-14</v>
      </c>
      <c r="K465">
        <f t="shared" si="29"/>
        <v>1.5295950443695983E-12</v>
      </c>
      <c r="L465">
        <f t="shared" si="30"/>
        <v>0</v>
      </c>
      <c r="M465" t="str">
        <f t="shared" si="31"/>
        <v>right</v>
      </c>
    </row>
    <row r="466" spans="1:13" hidden="1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  <c r="J466">
        <f t="shared" si="28"/>
        <v>6.2878757450828745E-15</v>
      </c>
      <c r="K466">
        <f t="shared" si="29"/>
        <v>4.6599954552820777E-15</v>
      </c>
      <c r="L466">
        <f t="shared" si="30"/>
        <v>1</v>
      </c>
      <c r="M466" t="str">
        <f t="shared" si="31"/>
        <v>no</v>
      </c>
    </row>
    <row r="467" spans="1:13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  <c r="J467">
        <f t="shared" si="28"/>
        <v>1.6826997357738951E-14</v>
      </c>
      <c r="K467">
        <f t="shared" si="29"/>
        <v>8.0843603403139468E-13</v>
      </c>
      <c r="L467">
        <f t="shared" si="30"/>
        <v>0</v>
      </c>
      <c r="M467" t="str">
        <f t="shared" si="31"/>
        <v>right</v>
      </c>
    </row>
    <row r="468" spans="1:13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  <c r="J468">
        <f t="shared" si="28"/>
        <v>4.2705800448835587E-15</v>
      </c>
      <c r="K468">
        <f t="shared" si="29"/>
        <v>4.4918875426365674E-13</v>
      </c>
      <c r="L468">
        <f t="shared" si="30"/>
        <v>0</v>
      </c>
      <c r="M468" t="str">
        <f t="shared" si="31"/>
        <v>right</v>
      </c>
    </row>
    <row r="469" spans="1:13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  <c r="J469">
        <f t="shared" si="28"/>
        <v>6.5387838600221882E-14</v>
      </c>
      <c r="K469">
        <f t="shared" si="29"/>
        <v>8.6954702522998748E-13</v>
      </c>
      <c r="L469">
        <f t="shared" si="30"/>
        <v>0</v>
      </c>
      <c r="M469" t="str">
        <f t="shared" si="31"/>
        <v>right</v>
      </c>
    </row>
    <row r="470" spans="1:13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  <c r="J470">
        <f t="shared" si="28"/>
        <v>4.4558402794966403E-16</v>
      </c>
      <c r="K470">
        <f t="shared" si="29"/>
        <v>2.9788568320610864E-16</v>
      </c>
      <c r="L470">
        <f t="shared" si="30"/>
        <v>1</v>
      </c>
      <c r="M470" t="str">
        <f t="shared" si="31"/>
        <v>right</v>
      </c>
    </row>
    <row r="471" spans="1:13" hidden="1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  <c r="J471">
        <f t="shared" si="28"/>
        <v>1.0275098474195718E-13</v>
      </c>
      <c r="K471">
        <f t="shared" si="29"/>
        <v>2.6802807351731027E-14</v>
      </c>
      <c r="L471">
        <f t="shared" si="30"/>
        <v>1</v>
      </c>
      <c r="M471" t="str">
        <f t="shared" si="31"/>
        <v>no</v>
      </c>
    </row>
    <row r="472" spans="1:13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  <c r="J472">
        <f t="shared" si="28"/>
        <v>1.2483177797403411E-13</v>
      </c>
      <c r="K472">
        <f t="shared" si="29"/>
        <v>1.4653219494072244E-13</v>
      </c>
      <c r="L472">
        <f t="shared" si="30"/>
        <v>0</v>
      </c>
      <c r="M472" t="str">
        <f t="shared" si="31"/>
        <v>right</v>
      </c>
    </row>
    <row r="473" spans="1:13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  <c r="J473">
        <f t="shared" si="28"/>
        <v>5.2625879493834307E-14</v>
      </c>
      <c r="K473">
        <f t="shared" si="29"/>
        <v>3.7674356379297903E-13</v>
      </c>
      <c r="L473">
        <f t="shared" si="30"/>
        <v>0</v>
      </c>
      <c r="M473" t="str">
        <f t="shared" si="31"/>
        <v>right</v>
      </c>
    </row>
    <row r="474" spans="1:13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  <c r="J474">
        <f t="shared" si="28"/>
        <v>6.6235439420586377E-14</v>
      </c>
      <c r="K474">
        <f t="shared" si="29"/>
        <v>8.2514770046046451E-13</v>
      </c>
      <c r="L474">
        <f t="shared" si="30"/>
        <v>0</v>
      </c>
      <c r="M474" t="str">
        <f t="shared" si="31"/>
        <v>right</v>
      </c>
    </row>
    <row r="475" spans="1:13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  <c r="J475">
        <f t="shared" si="28"/>
        <v>5.3904143762701743E-14</v>
      </c>
      <c r="K475">
        <f t="shared" si="29"/>
        <v>6.4350727126939534E-14</v>
      </c>
      <c r="L475">
        <f t="shared" si="30"/>
        <v>0</v>
      </c>
      <c r="M475" t="str">
        <f t="shared" si="31"/>
        <v>right</v>
      </c>
    </row>
    <row r="476" spans="1:13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  <c r="J476">
        <f t="shared" si="28"/>
        <v>4.3166079859871362E-14</v>
      </c>
      <c r="K476">
        <f t="shared" si="29"/>
        <v>1.0170424022226398E-12</v>
      </c>
      <c r="L476">
        <f t="shared" si="30"/>
        <v>0</v>
      </c>
      <c r="M476" t="str">
        <f t="shared" si="31"/>
        <v>right</v>
      </c>
    </row>
    <row r="477" spans="1:13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  <c r="J477">
        <f t="shared" si="28"/>
        <v>1.4742696344218228E-14</v>
      </c>
      <c r="K477">
        <f t="shared" si="29"/>
        <v>4.5180840861837844E-14</v>
      </c>
      <c r="L477">
        <f t="shared" si="30"/>
        <v>0</v>
      </c>
      <c r="M477" t="str">
        <f t="shared" si="31"/>
        <v>right</v>
      </c>
    </row>
    <row r="478" spans="1:13" hidden="1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  <c r="J478">
        <f t="shared" si="28"/>
        <v>9.2115569394945269E-14</v>
      </c>
      <c r="K478">
        <f t="shared" si="29"/>
        <v>3.0892873029129015E-13</v>
      </c>
      <c r="L478">
        <f t="shared" si="30"/>
        <v>0</v>
      </c>
      <c r="M478" t="str">
        <f t="shared" si="31"/>
        <v>no</v>
      </c>
    </row>
    <row r="479" spans="1:13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  <c r="J479">
        <f t="shared" si="28"/>
        <v>1.4600714256823211E-13</v>
      </c>
      <c r="K479">
        <f t="shared" si="29"/>
        <v>1.8088638860306088E-12</v>
      </c>
      <c r="L479">
        <f t="shared" si="30"/>
        <v>0</v>
      </c>
      <c r="M479" t="str">
        <f t="shared" si="31"/>
        <v>right</v>
      </c>
    </row>
    <row r="480" spans="1:13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  <c r="J480">
        <f t="shared" si="28"/>
        <v>1.1211167306128302E-13</v>
      </c>
      <c r="K480">
        <f t="shared" si="29"/>
        <v>3.3827400269131757E-13</v>
      </c>
      <c r="L480">
        <f t="shared" si="30"/>
        <v>0</v>
      </c>
      <c r="M480" t="str">
        <f t="shared" si="31"/>
        <v>right</v>
      </c>
    </row>
    <row r="481" spans="1:13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  <c r="J481">
        <f t="shared" si="28"/>
        <v>1.8862113990786763E-14</v>
      </c>
      <c r="K481">
        <f t="shared" si="29"/>
        <v>3.9038105142509266E-14</v>
      </c>
      <c r="L481">
        <f t="shared" si="30"/>
        <v>0</v>
      </c>
      <c r="M481" t="str">
        <f t="shared" si="31"/>
        <v>right</v>
      </c>
    </row>
    <row r="482" spans="1:13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  <c r="J482">
        <f t="shared" si="28"/>
        <v>1.6435641338598356E-13</v>
      </c>
      <c r="K482">
        <f t="shared" si="29"/>
        <v>2.2850481664092522E-14</v>
      </c>
      <c r="L482">
        <f t="shared" si="30"/>
        <v>1</v>
      </c>
      <c r="M482" t="str">
        <f t="shared" si="31"/>
        <v>right</v>
      </c>
    </row>
    <row r="483" spans="1:13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  <c r="J483">
        <f t="shared" si="28"/>
        <v>7.5146932339670048E-14</v>
      </c>
      <c r="K483">
        <f t="shared" si="29"/>
        <v>4.2863273965874846E-13</v>
      </c>
      <c r="L483">
        <f t="shared" si="30"/>
        <v>0</v>
      </c>
      <c r="M483" t="str">
        <f t="shared" si="31"/>
        <v>right</v>
      </c>
    </row>
    <row r="484" spans="1:13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  <c r="J484">
        <f t="shared" si="28"/>
        <v>5.9736394176297234E-14</v>
      </c>
      <c r="K484">
        <f t="shared" si="29"/>
        <v>2.909658020809934E-12</v>
      </c>
      <c r="L484">
        <f t="shared" si="30"/>
        <v>0</v>
      </c>
      <c r="M484" t="str">
        <f t="shared" si="31"/>
        <v>right</v>
      </c>
    </row>
    <row r="485" spans="1:13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  <c r="J485">
        <f t="shared" si="28"/>
        <v>1.9683112735440314E-14</v>
      </c>
      <c r="K485">
        <f t="shared" si="29"/>
        <v>4.0409515416876814E-13</v>
      </c>
      <c r="L485">
        <f t="shared" si="30"/>
        <v>0</v>
      </c>
      <c r="M485" t="str">
        <f t="shared" si="31"/>
        <v>right</v>
      </c>
    </row>
    <row r="486" spans="1:13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  <c r="J486">
        <f t="shared" si="28"/>
        <v>2.7237228765813871E-16</v>
      </c>
      <c r="K486">
        <f t="shared" si="29"/>
        <v>6.3064631399826281E-17</v>
      </c>
      <c r="L486">
        <f t="shared" si="30"/>
        <v>1</v>
      </c>
      <c r="M486" t="str">
        <f t="shared" si="31"/>
        <v>right</v>
      </c>
    </row>
    <row r="487" spans="1:13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  <c r="J487">
        <f t="shared" si="28"/>
        <v>3.5811122899649074E-14</v>
      </c>
      <c r="K487">
        <f t="shared" si="29"/>
        <v>3.4341287177053573E-14</v>
      </c>
      <c r="L487">
        <f t="shared" si="30"/>
        <v>1</v>
      </c>
      <c r="M487" t="str">
        <f t="shared" si="31"/>
        <v>right</v>
      </c>
    </row>
    <row r="488" spans="1:13" hidden="1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  <c r="J488">
        <f t="shared" si="28"/>
        <v>1.9762774941999545E-15</v>
      </c>
      <c r="K488">
        <f t="shared" si="29"/>
        <v>4.1883855424907365E-17</v>
      </c>
      <c r="L488">
        <f t="shared" si="30"/>
        <v>1</v>
      </c>
      <c r="M488" t="str">
        <f t="shared" si="31"/>
        <v>no</v>
      </c>
    </row>
    <row r="489" spans="1:13" hidden="1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  <c r="J489">
        <f t="shared" si="28"/>
        <v>1.4173589222465185E-15</v>
      </c>
      <c r="K489">
        <f t="shared" si="29"/>
        <v>6.9619602151586594E-18</v>
      </c>
      <c r="L489">
        <f t="shared" si="30"/>
        <v>1</v>
      </c>
      <c r="M489" t="str">
        <f t="shared" si="31"/>
        <v>no</v>
      </c>
    </row>
    <row r="490" spans="1:13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  <c r="J490">
        <f t="shared" si="28"/>
        <v>7.6163716859490664E-14</v>
      </c>
      <c r="K490">
        <f t="shared" si="29"/>
        <v>3.3061305040751126E-12</v>
      </c>
      <c r="L490">
        <f t="shared" si="30"/>
        <v>0</v>
      </c>
      <c r="M490" t="str">
        <f t="shared" si="31"/>
        <v>right</v>
      </c>
    </row>
    <row r="491" spans="1:13" hidden="1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  <c r="J491">
        <f t="shared" si="28"/>
        <v>6.9136538280963843E-16</v>
      </c>
      <c r="K491">
        <f t="shared" si="29"/>
        <v>2.1875098208318332E-17</v>
      </c>
      <c r="L491">
        <f t="shared" si="30"/>
        <v>1</v>
      </c>
      <c r="M491" t="str">
        <f t="shared" si="31"/>
        <v>no</v>
      </c>
    </row>
    <row r="492" spans="1:13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  <c r="J492">
        <f t="shared" si="28"/>
        <v>6.3193384938642446E-14</v>
      </c>
      <c r="K492">
        <f t="shared" si="29"/>
        <v>1.4226846565712539E-12</v>
      </c>
      <c r="L492">
        <f t="shared" si="30"/>
        <v>0</v>
      </c>
      <c r="M492" t="str">
        <f t="shared" si="31"/>
        <v>right</v>
      </c>
    </row>
    <row r="493" spans="1:13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  <c r="J493">
        <f t="shared" si="28"/>
        <v>6.8399150470677777E-14</v>
      </c>
      <c r="K493">
        <f t="shared" si="29"/>
        <v>7.1920104014085519E-13</v>
      </c>
      <c r="L493">
        <f t="shared" si="30"/>
        <v>0</v>
      </c>
      <c r="M493" t="str">
        <f t="shared" si="31"/>
        <v>right</v>
      </c>
    </row>
    <row r="494" spans="1:13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  <c r="J494">
        <f t="shared" si="28"/>
        <v>1.0946365456116132E-13</v>
      </c>
      <c r="K494">
        <f t="shared" si="29"/>
        <v>1.3303366973539232E-12</v>
      </c>
      <c r="L494">
        <f t="shared" si="30"/>
        <v>0</v>
      </c>
      <c r="M494" t="str">
        <f t="shared" si="31"/>
        <v>right</v>
      </c>
    </row>
    <row r="495" spans="1:13" hidden="1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  <c r="J495">
        <f t="shared" si="28"/>
        <v>1.3223979747435749E-13</v>
      </c>
      <c r="K495">
        <f t="shared" si="29"/>
        <v>1.3558659863284189E-13</v>
      </c>
      <c r="L495">
        <f t="shared" si="30"/>
        <v>0</v>
      </c>
      <c r="M495" t="str">
        <f t="shared" si="31"/>
        <v>no</v>
      </c>
    </row>
    <row r="496" spans="1:13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  <c r="J496">
        <f t="shared" si="28"/>
        <v>4.4781824824789509E-22</v>
      </c>
      <c r="K496">
        <f t="shared" si="29"/>
        <v>2.0041966002438391E-19</v>
      </c>
      <c r="L496">
        <f t="shared" si="30"/>
        <v>0</v>
      </c>
      <c r="M496" t="str">
        <f t="shared" si="31"/>
        <v>right</v>
      </c>
    </row>
    <row r="497" spans="1:13" hidden="1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  <c r="J497">
        <f t="shared" si="28"/>
        <v>3.2816678088436632E-15</v>
      </c>
      <c r="K497">
        <f t="shared" si="29"/>
        <v>1.3616123562805414E-15</v>
      </c>
      <c r="L497">
        <f t="shared" si="30"/>
        <v>1</v>
      </c>
      <c r="M497" t="str">
        <f t="shared" si="31"/>
        <v>no</v>
      </c>
    </row>
    <row r="498" spans="1:13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  <c r="J498">
        <f t="shared" si="28"/>
        <v>6.7107946386382716E-14</v>
      </c>
      <c r="K498">
        <f t="shared" si="29"/>
        <v>1.4590448239149462E-12</v>
      </c>
      <c r="L498">
        <f t="shared" si="30"/>
        <v>0</v>
      </c>
      <c r="M498" t="str">
        <f t="shared" si="31"/>
        <v>right</v>
      </c>
    </row>
    <row r="499" spans="1:13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  <c r="J499">
        <f t="shared" si="28"/>
        <v>5.2696541979745242E-14</v>
      </c>
      <c r="K499">
        <f t="shared" si="29"/>
        <v>2.5090946222516403E-12</v>
      </c>
      <c r="L499">
        <f t="shared" si="30"/>
        <v>0</v>
      </c>
      <c r="M499" t="str">
        <f t="shared" si="31"/>
        <v>right</v>
      </c>
    </row>
    <row r="500" spans="1:13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  <c r="J500">
        <f t="shared" si="28"/>
        <v>1.0278235575422753E-14</v>
      </c>
      <c r="K500">
        <f t="shared" si="29"/>
        <v>5.3419007947262676E-16</v>
      </c>
      <c r="L500">
        <f t="shared" si="30"/>
        <v>1</v>
      </c>
      <c r="M500" t="str">
        <f t="shared" si="31"/>
        <v>right</v>
      </c>
    </row>
    <row r="501" spans="1:13" hidden="1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  <c r="J501">
        <f t="shared" si="28"/>
        <v>3.4006687442078303E-13</v>
      </c>
      <c r="K501">
        <f t="shared" si="29"/>
        <v>1.0509409514063315E-13</v>
      </c>
      <c r="L501">
        <f t="shared" si="30"/>
        <v>1</v>
      </c>
      <c r="M501" t="str">
        <f t="shared" si="31"/>
        <v>no</v>
      </c>
    </row>
    <row r="502" spans="1:13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  <c r="J502">
        <f t="shared" si="28"/>
        <v>4.2575882449125679E-14</v>
      </c>
      <c r="K502">
        <f t="shared" si="29"/>
        <v>1.4650761310660382E-12</v>
      </c>
      <c r="L502">
        <f t="shared" si="30"/>
        <v>0</v>
      </c>
      <c r="M502" t="str">
        <f t="shared" si="31"/>
        <v>right</v>
      </c>
    </row>
    <row r="503" spans="1:13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  <c r="J503">
        <f t="shared" si="28"/>
        <v>6.4200303501013761E-14</v>
      </c>
      <c r="K503">
        <f t="shared" si="29"/>
        <v>1.2524994537548289E-12</v>
      </c>
      <c r="L503">
        <f t="shared" si="30"/>
        <v>0</v>
      </c>
      <c r="M503" t="str">
        <f t="shared" si="31"/>
        <v>right</v>
      </c>
    </row>
    <row r="504" spans="1:13" hidden="1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  <c r="J504">
        <f t="shared" si="28"/>
        <v>1.8341900100090985E-17</v>
      </c>
      <c r="K504">
        <f t="shared" si="29"/>
        <v>4.159007604688741E-17</v>
      </c>
      <c r="L504">
        <f t="shared" si="30"/>
        <v>0</v>
      </c>
      <c r="M504" t="str">
        <f t="shared" si="31"/>
        <v>no</v>
      </c>
    </row>
    <row r="505" spans="1:13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  <c r="J505">
        <f t="shared" si="28"/>
        <v>2.2749396680454046E-13</v>
      </c>
      <c r="K505">
        <f t="shared" si="29"/>
        <v>9.2540215391714197E-13</v>
      </c>
      <c r="L505">
        <f t="shared" si="30"/>
        <v>0</v>
      </c>
      <c r="M505" t="str">
        <f t="shared" si="31"/>
        <v>right</v>
      </c>
    </row>
    <row r="506" spans="1:13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  <c r="J506">
        <f t="shared" si="28"/>
        <v>1.0476112205433545E-13</v>
      </c>
      <c r="K506">
        <f t="shared" si="29"/>
        <v>6.9334034396210432E-13</v>
      </c>
      <c r="L506">
        <f t="shared" si="30"/>
        <v>0</v>
      </c>
      <c r="M506" t="str">
        <f t="shared" si="31"/>
        <v>right</v>
      </c>
    </row>
    <row r="507" spans="1:13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  <c r="J507">
        <f t="shared" si="28"/>
        <v>1.0727828027149062E-14</v>
      </c>
      <c r="K507">
        <f t="shared" si="29"/>
        <v>3.8711628222573902E-14</v>
      </c>
      <c r="L507">
        <f t="shared" si="30"/>
        <v>0</v>
      </c>
      <c r="M507" t="str">
        <f t="shared" si="31"/>
        <v>right</v>
      </c>
    </row>
    <row r="508" spans="1:13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  <c r="J508">
        <f t="shared" si="28"/>
        <v>1.1444999165709396E-13</v>
      </c>
      <c r="K508">
        <f t="shared" si="29"/>
        <v>2.8398949140842674E-14</v>
      </c>
      <c r="L508">
        <f t="shared" si="30"/>
        <v>1</v>
      </c>
      <c r="M508" t="str">
        <f t="shared" si="31"/>
        <v>right</v>
      </c>
    </row>
    <row r="509" spans="1:13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  <c r="J509">
        <f t="shared" si="28"/>
        <v>9.7699490499926267E-14</v>
      </c>
      <c r="K509">
        <f t="shared" si="29"/>
        <v>8.9898170069856427E-13</v>
      </c>
      <c r="L509">
        <f t="shared" si="30"/>
        <v>0</v>
      </c>
      <c r="M509" t="str">
        <f t="shared" si="31"/>
        <v>right</v>
      </c>
    </row>
    <row r="510" spans="1:13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  <c r="J510">
        <f t="shared" si="28"/>
        <v>1.4613314627960888E-14</v>
      </c>
      <c r="K510">
        <f t="shared" si="29"/>
        <v>3.0033383126951739E-13</v>
      </c>
      <c r="L510">
        <f t="shared" si="30"/>
        <v>0</v>
      </c>
      <c r="M510" t="str">
        <f t="shared" si="31"/>
        <v>right</v>
      </c>
    </row>
    <row r="511" spans="1:13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  <c r="J511">
        <f t="shared" si="28"/>
        <v>3.4731394730649506E-15</v>
      </c>
      <c r="K511">
        <f t="shared" si="29"/>
        <v>8.0289143174759162E-15</v>
      </c>
      <c r="L511">
        <f t="shared" si="30"/>
        <v>0</v>
      </c>
      <c r="M511" t="str">
        <f t="shared" si="31"/>
        <v>right</v>
      </c>
    </row>
    <row r="512" spans="1:13" hidden="1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  <c r="J512">
        <f t="shared" si="28"/>
        <v>1.0231838344828726E-14</v>
      </c>
      <c r="K512">
        <f t="shared" si="29"/>
        <v>1.5064315423457051E-14</v>
      </c>
      <c r="L512">
        <f t="shared" si="30"/>
        <v>0</v>
      </c>
      <c r="M512" t="str">
        <f t="shared" si="31"/>
        <v>no</v>
      </c>
    </row>
    <row r="513" spans="1:13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  <c r="J513">
        <f t="shared" si="28"/>
        <v>1.3252560332243415E-14</v>
      </c>
      <c r="K513">
        <f t="shared" si="29"/>
        <v>1.9847835996623619E-13</v>
      </c>
      <c r="L513">
        <f t="shared" si="30"/>
        <v>0</v>
      </c>
      <c r="M513" t="str">
        <f t="shared" si="31"/>
        <v>right</v>
      </c>
    </row>
    <row r="514" spans="1:13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  <c r="J514">
        <f t="shared" si="28"/>
        <v>1.9717678843520388E-15</v>
      </c>
      <c r="K514">
        <f t="shared" si="29"/>
        <v>1.1169420605948125E-14</v>
      </c>
      <c r="L514">
        <f t="shared" si="30"/>
        <v>0</v>
      </c>
      <c r="M514" t="str">
        <f t="shared" si="31"/>
        <v>right</v>
      </c>
    </row>
    <row r="515" spans="1:13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  <c r="J515">
        <f t="shared" ref="J515:J578" si="32">$S$1*_xlfn.NORM.DIST(A515,$R$6,$R$10,FALSE)*_xlfn.NORM.DIST(B515,$S$6,$S$10,FALSE)*_xlfn.NORM.DIST(C515,$T$6,$T$10,FALSE)*_xlfn.NORM.DIST(D515,$U$6,$U$10,FALSE)*_xlfn.NORM.DIST(E515,$V$6,$V$10,FALSE)*_xlfn.NORM.DIST(F515,$W$6,$W$10,FALSE)*_xlfn.NORM.DIST(G515,$X$6,$X$10,FALSE)*_xlfn.NORM.DIST(H515,$Y$6,$Y$10,FALSE)</f>
        <v>1.6294020036302415E-14</v>
      </c>
      <c r="K515">
        <f t="shared" ref="K515:K578" si="33">$S$2*_xlfn.NORM.DIST(A515,$R$5,$R$9,FALSE)*_xlfn.NORM.DIST(B515,$S$5,$S$9,FALSE)*_xlfn.NORM.DIST(C515,$T$5,$T$9,FALSE)*_xlfn.NORM.DIST(D515,$U$5,$U$9,FALSE)*_xlfn.NORM.DIST(E515,$V$5,$V$9,FALSE)*_xlfn.NORM.DIST(F515,$W$5,$W$9,FALSE)*_xlfn.NORM.DIST(G515,$X$5,$X$9,FALSE)*_xlfn.NORM.DIST(H515,$Y$5,$Y$9,FALSE)</f>
        <v>9.5396293873535727E-13</v>
      </c>
      <c r="L515">
        <f t="shared" ref="L515:L578" si="34">IF(J515&gt;K515,1,0)</f>
        <v>0</v>
      </c>
      <c r="M515" t="str">
        <f t="shared" ref="M515:M578" si="35">IF(I515=L515,"right","no")</f>
        <v>right</v>
      </c>
    </row>
    <row r="516" spans="1:13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  <c r="J516">
        <f t="shared" si="32"/>
        <v>3.3640445598868323E-14</v>
      </c>
      <c r="K516">
        <f t="shared" si="33"/>
        <v>2.012606479898126E-12</v>
      </c>
      <c r="L516">
        <f t="shared" si="34"/>
        <v>0</v>
      </c>
      <c r="M516" t="str">
        <f t="shared" si="35"/>
        <v>right</v>
      </c>
    </row>
    <row r="517" spans="1:13" hidden="1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  <c r="J517">
        <f t="shared" si="32"/>
        <v>3.4698159965160128E-13</v>
      </c>
      <c r="K517">
        <f t="shared" si="33"/>
        <v>6.577513389111716E-13</v>
      </c>
      <c r="L517">
        <f t="shared" si="34"/>
        <v>0</v>
      </c>
      <c r="M517" t="str">
        <f t="shared" si="35"/>
        <v>no</v>
      </c>
    </row>
    <row r="518" spans="1:13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  <c r="J518">
        <f t="shared" si="32"/>
        <v>7.0849446105988064E-14</v>
      </c>
      <c r="K518">
        <f t="shared" si="33"/>
        <v>9.0867220748266966E-15</v>
      </c>
      <c r="L518">
        <f t="shared" si="34"/>
        <v>1</v>
      </c>
      <c r="M518" t="str">
        <f t="shared" si="35"/>
        <v>right</v>
      </c>
    </row>
    <row r="519" spans="1:13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  <c r="J519">
        <f t="shared" si="32"/>
        <v>7.448101743329469E-14</v>
      </c>
      <c r="K519">
        <f t="shared" si="33"/>
        <v>7.583617627536114E-14</v>
      </c>
      <c r="L519">
        <f t="shared" si="34"/>
        <v>0</v>
      </c>
      <c r="M519" t="str">
        <f t="shared" si="35"/>
        <v>right</v>
      </c>
    </row>
    <row r="520" spans="1:13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  <c r="J520">
        <f t="shared" si="32"/>
        <v>2.1090535299904792E-15</v>
      </c>
      <c r="K520">
        <f t="shared" si="33"/>
        <v>2.3172986402007287E-15</v>
      </c>
      <c r="L520">
        <f t="shared" si="34"/>
        <v>0</v>
      </c>
      <c r="M520" t="str">
        <f t="shared" si="35"/>
        <v>right</v>
      </c>
    </row>
    <row r="521" spans="1:13" hidden="1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  <c r="J521">
        <f t="shared" si="32"/>
        <v>1.3423926330014619E-15</v>
      </c>
      <c r="K521">
        <f t="shared" si="33"/>
        <v>6.3056898616373559E-16</v>
      </c>
      <c r="L521">
        <f t="shared" si="34"/>
        <v>1</v>
      </c>
      <c r="M521" t="str">
        <f t="shared" si="35"/>
        <v>no</v>
      </c>
    </row>
    <row r="522" spans="1:13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  <c r="J522">
        <f t="shared" si="32"/>
        <v>6.1483101926872309E-15</v>
      </c>
      <c r="K522">
        <f t="shared" si="33"/>
        <v>5.9472587055516474E-13</v>
      </c>
      <c r="L522">
        <f t="shared" si="34"/>
        <v>0</v>
      </c>
      <c r="M522" t="str">
        <f t="shared" si="35"/>
        <v>right</v>
      </c>
    </row>
    <row r="523" spans="1:13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  <c r="J523">
        <f t="shared" si="32"/>
        <v>2.8386235616388684E-13</v>
      </c>
      <c r="K523">
        <f t="shared" si="33"/>
        <v>2.0273740318382161E-12</v>
      </c>
      <c r="L523">
        <f t="shared" si="34"/>
        <v>0</v>
      </c>
      <c r="M523" t="str">
        <f t="shared" si="35"/>
        <v>right</v>
      </c>
    </row>
    <row r="524" spans="1:13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  <c r="J524">
        <f t="shared" si="32"/>
        <v>3.402303999731173E-21</v>
      </c>
      <c r="K524">
        <f t="shared" si="33"/>
        <v>3.312894786675284E-19</v>
      </c>
      <c r="L524">
        <f t="shared" si="34"/>
        <v>0</v>
      </c>
      <c r="M524" t="str">
        <f t="shared" si="35"/>
        <v>right</v>
      </c>
    </row>
    <row r="525" spans="1:13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  <c r="J525">
        <f t="shared" si="32"/>
        <v>1.418436222106592E-13</v>
      </c>
      <c r="K525">
        <f t="shared" si="33"/>
        <v>9.2165091616892112E-14</v>
      </c>
      <c r="L525">
        <f t="shared" si="34"/>
        <v>1</v>
      </c>
      <c r="M525" t="str">
        <f t="shared" si="35"/>
        <v>right</v>
      </c>
    </row>
    <row r="526" spans="1:13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  <c r="J526">
        <f t="shared" si="32"/>
        <v>6.0290891187319463E-14</v>
      </c>
      <c r="K526">
        <f t="shared" si="33"/>
        <v>8.5010545935706941E-13</v>
      </c>
      <c r="L526">
        <f t="shared" si="34"/>
        <v>0</v>
      </c>
      <c r="M526" t="str">
        <f t="shared" si="35"/>
        <v>right</v>
      </c>
    </row>
    <row r="527" spans="1:13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  <c r="J527">
        <f t="shared" si="32"/>
        <v>9.0076280859862682E-15</v>
      </c>
      <c r="K527">
        <f t="shared" si="33"/>
        <v>1.2004338386643201E-12</v>
      </c>
      <c r="L527">
        <f t="shared" si="34"/>
        <v>0</v>
      </c>
      <c r="M527" t="str">
        <f t="shared" si="35"/>
        <v>right</v>
      </c>
    </row>
    <row r="528" spans="1:13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  <c r="J528">
        <f t="shared" si="32"/>
        <v>4.0226344953260358E-15</v>
      </c>
      <c r="K528">
        <f t="shared" si="33"/>
        <v>7.8125100205560319E-13</v>
      </c>
      <c r="L528">
        <f t="shared" si="34"/>
        <v>0</v>
      </c>
      <c r="M528" t="str">
        <f t="shared" si="35"/>
        <v>right</v>
      </c>
    </row>
    <row r="529" spans="1:13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  <c r="J529">
        <f t="shared" si="32"/>
        <v>7.3118425460157884E-14</v>
      </c>
      <c r="K529">
        <f t="shared" si="33"/>
        <v>2.2522648624899203E-12</v>
      </c>
      <c r="L529">
        <f t="shared" si="34"/>
        <v>0</v>
      </c>
      <c r="M529" t="str">
        <f t="shared" si="35"/>
        <v>right</v>
      </c>
    </row>
    <row r="530" spans="1:13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  <c r="J530">
        <f t="shared" si="32"/>
        <v>7.862012621335994E-14</v>
      </c>
      <c r="K530">
        <f t="shared" si="33"/>
        <v>9.2939296429838661E-13</v>
      </c>
      <c r="L530">
        <f t="shared" si="34"/>
        <v>0</v>
      </c>
      <c r="M530" t="str">
        <f t="shared" si="35"/>
        <v>right</v>
      </c>
    </row>
    <row r="531" spans="1:13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  <c r="J531">
        <f t="shared" si="32"/>
        <v>2.8628410504650296E-14</v>
      </c>
      <c r="K531">
        <f t="shared" si="33"/>
        <v>6.8351800084079956E-13</v>
      </c>
      <c r="L531">
        <f t="shared" si="34"/>
        <v>0</v>
      </c>
      <c r="M531" t="str">
        <f t="shared" si="35"/>
        <v>right</v>
      </c>
    </row>
    <row r="532" spans="1:13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  <c r="J532">
        <f t="shared" si="32"/>
        <v>1.541954939455033E-13</v>
      </c>
      <c r="K532">
        <f t="shared" si="33"/>
        <v>2.1540834609954817E-12</v>
      </c>
      <c r="L532">
        <f t="shared" si="34"/>
        <v>0</v>
      </c>
      <c r="M532" t="str">
        <f t="shared" si="35"/>
        <v>right</v>
      </c>
    </row>
    <row r="533" spans="1:13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  <c r="J533">
        <f t="shared" si="32"/>
        <v>1.5356658479787433E-14</v>
      </c>
      <c r="K533">
        <f t="shared" si="33"/>
        <v>9.5269663886871481E-14</v>
      </c>
      <c r="L533">
        <f t="shared" si="34"/>
        <v>0</v>
      </c>
      <c r="M533" t="str">
        <f t="shared" si="35"/>
        <v>right</v>
      </c>
    </row>
    <row r="534" spans="1:13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  <c r="J534">
        <f t="shared" si="32"/>
        <v>1.0554717502016091E-14</v>
      </c>
      <c r="K534">
        <f t="shared" si="33"/>
        <v>2.9450690617719784E-14</v>
      </c>
      <c r="L534">
        <f t="shared" si="34"/>
        <v>0</v>
      </c>
      <c r="M534" t="str">
        <f t="shared" si="35"/>
        <v>right</v>
      </c>
    </row>
    <row r="535" spans="1:13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  <c r="J535">
        <f t="shared" si="32"/>
        <v>2.9791957463168454E-16</v>
      </c>
      <c r="K535">
        <f t="shared" si="33"/>
        <v>8.9842068816656753E-16</v>
      </c>
      <c r="L535">
        <f t="shared" si="34"/>
        <v>0</v>
      </c>
      <c r="M535" t="str">
        <f t="shared" si="35"/>
        <v>right</v>
      </c>
    </row>
    <row r="536" spans="1:13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  <c r="J536">
        <f t="shared" si="32"/>
        <v>4.6024088183353362E-15</v>
      </c>
      <c r="K536">
        <f t="shared" si="33"/>
        <v>2.5234276102604254E-14</v>
      </c>
      <c r="L536">
        <f t="shared" si="34"/>
        <v>0</v>
      </c>
      <c r="M536" t="str">
        <f t="shared" si="35"/>
        <v>right</v>
      </c>
    </row>
    <row r="537" spans="1:13" hidden="1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  <c r="J537">
        <f t="shared" si="32"/>
        <v>5.188158090418516E-16</v>
      </c>
      <c r="K537">
        <f t="shared" si="33"/>
        <v>8.2840765409340842E-16</v>
      </c>
      <c r="L537">
        <f t="shared" si="34"/>
        <v>0</v>
      </c>
      <c r="M537" t="str">
        <f t="shared" si="35"/>
        <v>no</v>
      </c>
    </row>
    <row r="538" spans="1:13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  <c r="J538">
        <f t="shared" si="32"/>
        <v>1.9565122557598265E-14</v>
      </c>
      <c r="K538">
        <f t="shared" si="33"/>
        <v>1.9154787467273575E-13</v>
      </c>
      <c r="L538">
        <f t="shared" si="34"/>
        <v>0</v>
      </c>
      <c r="M538" t="str">
        <f t="shared" si="35"/>
        <v>right</v>
      </c>
    </row>
    <row r="539" spans="1:13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  <c r="J539">
        <f t="shared" si="32"/>
        <v>1.697119084169883E-17</v>
      </c>
      <c r="K539">
        <f t="shared" si="33"/>
        <v>4.0740812504334543E-16</v>
      </c>
      <c r="L539">
        <f t="shared" si="34"/>
        <v>0</v>
      </c>
      <c r="M539" t="str">
        <f t="shared" si="35"/>
        <v>right</v>
      </c>
    </row>
    <row r="540" spans="1:13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  <c r="J540">
        <f t="shared" si="32"/>
        <v>6.7675918754169022E-14</v>
      </c>
      <c r="K540">
        <f t="shared" si="33"/>
        <v>1.1819170592693157E-13</v>
      </c>
      <c r="L540">
        <f t="shared" si="34"/>
        <v>0</v>
      </c>
      <c r="M540" t="str">
        <f t="shared" si="35"/>
        <v>right</v>
      </c>
    </row>
    <row r="541" spans="1:13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  <c r="J541">
        <f t="shared" si="32"/>
        <v>7.5149053445685371E-14</v>
      </c>
      <c r="K541">
        <f t="shared" si="33"/>
        <v>3.0902524918376454E-14</v>
      </c>
      <c r="L541">
        <f t="shared" si="34"/>
        <v>1</v>
      </c>
      <c r="M541" t="str">
        <f t="shared" si="35"/>
        <v>right</v>
      </c>
    </row>
    <row r="542" spans="1:13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  <c r="J542">
        <f t="shared" si="32"/>
        <v>9.6920087044657815E-14</v>
      </c>
      <c r="K542">
        <f t="shared" si="33"/>
        <v>5.1973075436622502E-14</v>
      </c>
      <c r="L542">
        <f t="shared" si="34"/>
        <v>1</v>
      </c>
      <c r="M542" t="str">
        <f t="shared" si="35"/>
        <v>right</v>
      </c>
    </row>
    <row r="543" spans="1:13" hidden="1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  <c r="J543">
        <f t="shared" si="32"/>
        <v>4.2685623698168846E-13</v>
      </c>
      <c r="K543">
        <f t="shared" si="33"/>
        <v>1.9295277415979312E-12</v>
      </c>
      <c r="L543">
        <f t="shared" si="34"/>
        <v>0</v>
      </c>
      <c r="M543" t="str">
        <f t="shared" si="35"/>
        <v>no</v>
      </c>
    </row>
    <row r="544" spans="1:13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  <c r="J544">
        <f t="shared" si="32"/>
        <v>1.0562760902706988E-14</v>
      </c>
      <c r="K544">
        <f t="shared" si="33"/>
        <v>5.6763088060243796E-15</v>
      </c>
      <c r="L544">
        <f t="shared" si="34"/>
        <v>1</v>
      </c>
      <c r="M544" t="str">
        <f t="shared" si="35"/>
        <v>right</v>
      </c>
    </row>
    <row r="545" spans="1:13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  <c r="J545">
        <f t="shared" si="32"/>
        <v>3.5199147773769194E-14</v>
      </c>
      <c r="K545">
        <f t="shared" si="33"/>
        <v>5.324571389863239E-13</v>
      </c>
      <c r="L545">
        <f t="shared" si="34"/>
        <v>0</v>
      </c>
      <c r="M545" t="str">
        <f t="shared" si="35"/>
        <v>right</v>
      </c>
    </row>
    <row r="546" spans="1:13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  <c r="J546">
        <f t="shared" si="32"/>
        <v>8.3492152174278114E-14</v>
      </c>
      <c r="K546">
        <f t="shared" si="33"/>
        <v>2.3706379126999989E-12</v>
      </c>
      <c r="L546">
        <f t="shared" si="34"/>
        <v>0</v>
      </c>
      <c r="M546" t="str">
        <f t="shared" si="35"/>
        <v>right</v>
      </c>
    </row>
    <row r="547" spans="1:13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  <c r="J547">
        <f t="shared" si="32"/>
        <v>9.2070649798655764E-14</v>
      </c>
      <c r="K547">
        <f t="shared" si="33"/>
        <v>1.8274467268546356E-15</v>
      </c>
      <c r="L547">
        <f t="shared" si="34"/>
        <v>1</v>
      </c>
      <c r="M547" t="str">
        <f t="shared" si="35"/>
        <v>right</v>
      </c>
    </row>
    <row r="548" spans="1:13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  <c r="J548">
        <f t="shared" si="32"/>
        <v>2.0457925709678377E-14</v>
      </c>
      <c r="K548">
        <f t="shared" si="33"/>
        <v>1.1675517067744422E-16</v>
      </c>
      <c r="L548">
        <f t="shared" si="34"/>
        <v>1</v>
      </c>
      <c r="M548" t="str">
        <f t="shared" si="35"/>
        <v>right</v>
      </c>
    </row>
    <row r="549" spans="1:13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  <c r="J549">
        <f t="shared" si="32"/>
        <v>3.4737913224920953E-13</v>
      </c>
      <c r="K549">
        <f t="shared" si="33"/>
        <v>1.7699924061206304E-12</v>
      </c>
      <c r="L549">
        <f t="shared" si="34"/>
        <v>0</v>
      </c>
      <c r="M549" t="str">
        <f t="shared" si="35"/>
        <v>right</v>
      </c>
    </row>
    <row r="550" spans="1:13" hidden="1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  <c r="J550">
        <f t="shared" si="32"/>
        <v>8.405786488822401E-14</v>
      </c>
      <c r="K550">
        <f t="shared" si="33"/>
        <v>3.2606310632378715E-14</v>
      </c>
      <c r="L550">
        <f t="shared" si="34"/>
        <v>1</v>
      </c>
      <c r="M550" t="str">
        <f t="shared" si="35"/>
        <v>no</v>
      </c>
    </row>
    <row r="551" spans="1:13" hidden="1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  <c r="J551">
        <f t="shared" si="32"/>
        <v>2.7446667372470789E-14</v>
      </c>
      <c r="K551">
        <f t="shared" si="33"/>
        <v>1.6783649270062575E-15</v>
      </c>
      <c r="L551">
        <f t="shared" si="34"/>
        <v>1</v>
      </c>
      <c r="M551" t="str">
        <f t="shared" si="35"/>
        <v>no</v>
      </c>
    </row>
    <row r="552" spans="1:13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  <c r="J552">
        <f t="shared" si="32"/>
        <v>4.2321102873924963E-14</v>
      </c>
      <c r="K552">
        <f t="shared" si="33"/>
        <v>1.5856714089140596E-12</v>
      </c>
      <c r="L552">
        <f t="shared" si="34"/>
        <v>0</v>
      </c>
      <c r="M552" t="str">
        <f t="shared" si="35"/>
        <v>right</v>
      </c>
    </row>
    <row r="553" spans="1:13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  <c r="J553">
        <f t="shared" si="32"/>
        <v>8.4195757545903911E-14</v>
      </c>
      <c r="K553">
        <f t="shared" si="33"/>
        <v>2.2272494433806252E-12</v>
      </c>
      <c r="L553">
        <f t="shared" si="34"/>
        <v>0</v>
      </c>
      <c r="M553" t="str">
        <f t="shared" si="35"/>
        <v>right</v>
      </c>
    </row>
    <row r="554" spans="1:13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  <c r="J554">
        <f t="shared" si="32"/>
        <v>2.4192717927491937E-15</v>
      </c>
      <c r="K554">
        <f t="shared" si="33"/>
        <v>7.4470488889101606E-15</v>
      </c>
      <c r="L554">
        <f t="shared" si="34"/>
        <v>0</v>
      </c>
      <c r="M554" t="str">
        <f t="shared" si="35"/>
        <v>right</v>
      </c>
    </row>
    <row r="555" spans="1:13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  <c r="J555">
        <f t="shared" si="32"/>
        <v>4.227152419671783E-14</v>
      </c>
      <c r="K555">
        <f t="shared" si="33"/>
        <v>2.4470222098362537E-12</v>
      </c>
      <c r="L555">
        <f t="shared" si="34"/>
        <v>0</v>
      </c>
      <c r="M555" t="str">
        <f t="shared" si="35"/>
        <v>right</v>
      </c>
    </row>
    <row r="556" spans="1:13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  <c r="J556">
        <f t="shared" si="32"/>
        <v>8.074157433318141E-14</v>
      </c>
      <c r="K556">
        <f t="shared" si="33"/>
        <v>1.7491640312767827E-12</v>
      </c>
      <c r="L556">
        <f t="shared" si="34"/>
        <v>0</v>
      </c>
      <c r="M556" t="str">
        <f t="shared" si="35"/>
        <v>right</v>
      </c>
    </row>
    <row r="557" spans="1:13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  <c r="J557">
        <f t="shared" si="32"/>
        <v>1.1164736144605135E-13</v>
      </c>
      <c r="K557">
        <f t="shared" si="33"/>
        <v>3.0117102411126012E-13</v>
      </c>
      <c r="L557">
        <f t="shared" si="34"/>
        <v>0</v>
      </c>
      <c r="M557" t="str">
        <f t="shared" si="35"/>
        <v>right</v>
      </c>
    </row>
    <row r="558" spans="1:13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  <c r="J558">
        <f t="shared" si="32"/>
        <v>5.6175557249017474E-14</v>
      </c>
      <c r="K558">
        <f t="shared" si="33"/>
        <v>6.4157506569672142E-13</v>
      </c>
      <c r="L558">
        <f t="shared" si="34"/>
        <v>0</v>
      </c>
      <c r="M558" t="str">
        <f t="shared" si="35"/>
        <v>right</v>
      </c>
    </row>
    <row r="559" spans="1:13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  <c r="J559">
        <f t="shared" si="32"/>
        <v>1.0912032597226106E-14</v>
      </c>
      <c r="K559">
        <f t="shared" si="33"/>
        <v>3.3249355079693947E-14</v>
      </c>
      <c r="L559">
        <f t="shared" si="34"/>
        <v>0</v>
      </c>
      <c r="M559" t="str">
        <f t="shared" si="35"/>
        <v>right</v>
      </c>
    </row>
    <row r="560" spans="1:13" hidden="1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  <c r="J560">
        <f t="shared" si="32"/>
        <v>9.319450310114173E-15</v>
      </c>
      <c r="K560">
        <f t="shared" si="33"/>
        <v>3.584997542327165E-15</v>
      </c>
      <c r="L560">
        <f t="shared" si="34"/>
        <v>1</v>
      </c>
      <c r="M560" t="str">
        <f t="shared" si="35"/>
        <v>no</v>
      </c>
    </row>
    <row r="561" spans="1:13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  <c r="J561">
        <f t="shared" si="32"/>
        <v>1.2728782492481299E-14</v>
      </c>
      <c r="K561">
        <f t="shared" si="33"/>
        <v>4.4623691396168409E-14</v>
      </c>
      <c r="L561">
        <f t="shared" si="34"/>
        <v>0</v>
      </c>
      <c r="M561" t="str">
        <f t="shared" si="35"/>
        <v>right</v>
      </c>
    </row>
    <row r="562" spans="1:13" hidden="1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  <c r="J562">
        <f t="shared" si="32"/>
        <v>4.7313109680156413E-14</v>
      </c>
      <c r="K562">
        <f t="shared" si="33"/>
        <v>9.0542918803805683E-14</v>
      </c>
      <c r="L562">
        <f t="shared" si="34"/>
        <v>0</v>
      </c>
      <c r="M562" t="str">
        <f t="shared" si="35"/>
        <v>no</v>
      </c>
    </row>
    <row r="563" spans="1:13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  <c r="J563">
        <f t="shared" si="32"/>
        <v>1.7913008053938902E-14</v>
      </c>
      <c r="K563">
        <f t="shared" si="33"/>
        <v>3.5597005498718134E-16</v>
      </c>
      <c r="L563">
        <f t="shared" si="34"/>
        <v>1</v>
      </c>
      <c r="M563" t="str">
        <f t="shared" si="35"/>
        <v>right</v>
      </c>
    </row>
    <row r="564" spans="1:13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  <c r="J564">
        <f t="shared" si="32"/>
        <v>4.9984728042868777E-14</v>
      </c>
      <c r="K564">
        <f t="shared" si="33"/>
        <v>1.1399141897283482E-12</v>
      </c>
      <c r="L564">
        <f t="shared" si="34"/>
        <v>0</v>
      </c>
      <c r="M564" t="str">
        <f t="shared" si="35"/>
        <v>right</v>
      </c>
    </row>
    <row r="565" spans="1:13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  <c r="J565">
        <f t="shared" si="32"/>
        <v>1.6434196406819664E-13</v>
      </c>
      <c r="K565">
        <f t="shared" si="33"/>
        <v>3.2844777638417723E-12</v>
      </c>
      <c r="L565">
        <f t="shared" si="34"/>
        <v>0</v>
      </c>
      <c r="M565" t="str">
        <f t="shared" si="35"/>
        <v>right</v>
      </c>
    </row>
    <row r="566" spans="1:13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  <c r="J566">
        <f t="shared" si="32"/>
        <v>2.6017082783995824E-14</v>
      </c>
      <c r="K566">
        <f t="shared" si="33"/>
        <v>5.8526558382772962E-13</v>
      </c>
      <c r="L566">
        <f t="shared" si="34"/>
        <v>0</v>
      </c>
      <c r="M566" t="str">
        <f t="shared" si="35"/>
        <v>right</v>
      </c>
    </row>
    <row r="567" spans="1:13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  <c r="J567">
        <f t="shared" si="32"/>
        <v>2.8917836967664279E-14</v>
      </c>
      <c r="K567">
        <f t="shared" si="33"/>
        <v>1.2672357891558522E-12</v>
      </c>
      <c r="L567">
        <f t="shared" si="34"/>
        <v>0</v>
      </c>
      <c r="M567" t="str">
        <f t="shared" si="35"/>
        <v>right</v>
      </c>
    </row>
    <row r="568" spans="1:13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  <c r="J568">
        <f t="shared" si="32"/>
        <v>5.6963721846804591E-14</v>
      </c>
      <c r="K568">
        <f t="shared" si="33"/>
        <v>1.1977221297528551E-12</v>
      </c>
      <c r="L568">
        <f t="shared" si="34"/>
        <v>0</v>
      </c>
      <c r="M568" t="str">
        <f t="shared" si="35"/>
        <v>right</v>
      </c>
    </row>
    <row r="569" spans="1:13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  <c r="J569">
        <f t="shared" si="32"/>
        <v>7.2586148295707081E-14</v>
      </c>
      <c r="K569">
        <f t="shared" si="33"/>
        <v>4.5749479518411807E-13</v>
      </c>
      <c r="L569">
        <f t="shared" si="34"/>
        <v>0</v>
      </c>
      <c r="M569" t="str">
        <f t="shared" si="35"/>
        <v>right</v>
      </c>
    </row>
    <row r="570" spans="1:13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  <c r="J570">
        <f t="shared" si="32"/>
        <v>6.5214578375699601E-13</v>
      </c>
      <c r="K570">
        <f t="shared" si="33"/>
        <v>9.124224624332737E-13</v>
      </c>
      <c r="L570">
        <f t="shared" si="34"/>
        <v>0</v>
      </c>
      <c r="M570" t="str">
        <f t="shared" si="35"/>
        <v>right</v>
      </c>
    </row>
    <row r="571" spans="1:13" hidden="1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  <c r="J571">
        <f t="shared" si="32"/>
        <v>1.7998723184101988E-13</v>
      </c>
      <c r="K571">
        <f t="shared" si="33"/>
        <v>1.0795671176211202E-12</v>
      </c>
      <c r="L571">
        <f t="shared" si="34"/>
        <v>0</v>
      </c>
      <c r="M571" t="str">
        <f t="shared" si="35"/>
        <v>no</v>
      </c>
    </row>
    <row r="572" spans="1:13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  <c r="J572">
        <f t="shared" si="32"/>
        <v>3.2573488865750582E-14</v>
      </c>
      <c r="K572">
        <f t="shared" si="33"/>
        <v>6.9710289594202638E-13</v>
      </c>
      <c r="L572">
        <f t="shared" si="34"/>
        <v>0</v>
      </c>
      <c r="M572" t="str">
        <f t="shared" si="35"/>
        <v>right</v>
      </c>
    </row>
    <row r="573" spans="1:13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  <c r="J573">
        <f t="shared" si="32"/>
        <v>7.705072884598218E-15</v>
      </c>
      <c r="K573">
        <f t="shared" si="33"/>
        <v>1.65940709392884E-13</v>
      </c>
      <c r="L573">
        <f t="shared" si="34"/>
        <v>0</v>
      </c>
      <c r="M573" t="str">
        <f t="shared" si="35"/>
        <v>right</v>
      </c>
    </row>
    <row r="574" spans="1:13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  <c r="J574">
        <f t="shared" si="32"/>
        <v>1.1291540414321733E-13</v>
      </c>
      <c r="K574">
        <f t="shared" si="33"/>
        <v>3.0570273685614132E-12</v>
      </c>
      <c r="L574">
        <f t="shared" si="34"/>
        <v>0</v>
      </c>
      <c r="M574" t="str">
        <f t="shared" si="35"/>
        <v>right</v>
      </c>
    </row>
    <row r="575" spans="1:13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  <c r="J575">
        <f t="shared" si="32"/>
        <v>6.6637873978209073E-14</v>
      </c>
      <c r="K575">
        <f t="shared" si="33"/>
        <v>2.0034102511009499E-12</v>
      </c>
      <c r="L575">
        <f t="shared" si="34"/>
        <v>0</v>
      </c>
      <c r="M575" t="str">
        <f t="shared" si="35"/>
        <v>right</v>
      </c>
    </row>
    <row r="576" spans="1:13" hidden="1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  <c r="J576">
        <f t="shared" si="32"/>
        <v>2.5658023402401874E-14</v>
      </c>
      <c r="K576">
        <f t="shared" si="33"/>
        <v>8.0055855385953606E-15</v>
      </c>
      <c r="L576">
        <f t="shared" si="34"/>
        <v>1</v>
      </c>
      <c r="M576" t="str">
        <f t="shared" si="35"/>
        <v>no</v>
      </c>
    </row>
    <row r="577" spans="1:13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  <c r="J577">
        <f t="shared" si="32"/>
        <v>3.4262685064719411E-14</v>
      </c>
      <c r="K577">
        <f t="shared" si="33"/>
        <v>2.2131561623358178E-13</v>
      </c>
      <c r="L577">
        <f t="shared" si="34"/>
        <v>0</v>
      </c>
      <c r="M577" t="str">
        <f t="shared" si="35"/>
        <v>right</v>
      </c>
    </row>
    <row r="578" spans="1:13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  <c r="J578">
        <f t="shared" si="32"/>
        <v>6.2951770846535368E-14</v>
      </c>
      <c r="K578">
        <f t="shared" si="33"/>
        <v>4.5678534107791506E-13</v>
      </c>
      <c r="L578">
        <f t="shared" si="34"/>
        <v>0</v>
      </c>
      <c r="M578" t="str">
        <f t="shared" si="35"/>
        <v>right</v>
      </c>
    </row>
    <row r="579" spans="1:13" hidden="1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  <c r="J579">
        <f t="shared" ref="J579:J642" si="36">$S$1*_xlfn.NORM.DIST(A579,$R$6,$R$10,FALSE)*_xlfn.NORM.DIST(B579,$S$6,$S$10,FALSE)*_xlfn.NORM.DIST(C579,$T$6,$T$10,FALSE)*_xlfn.NORM.DIST(D579,$U$6,$U$10,FALSE)*_xlfn.NORM.DIST(E579,$V$6,$V$10,FALSE)*_xlfn.NORM.DIST(F579,$W$6,$W$10,FALSE)*_xlfn.NORM.DIST(G579,$X$6,$X$10,FALSE)*_xlfn.NORM.DIST(H579,$Y$6,$Y$10,FALSE)</f>
        <v>3.5485263231689309E-14</v>
      </c>
      <c r="K579">
        <f t="shared" ref="K579:K642" si="37">$S$2*_xlfn.NORM.DIST(A579,$R$5,$R$9,FALSE)*_xlfn.NORM.DIST(B579,$S$5,$S$9,FALSE)*_xlfn.NORM.DIST(C579,$T$5,$T$9,FALSE)*_xlfn.NORM.DIST(D579,$U$5,$U$9,FALSE)*_xlfn.NORM.DIST(E579,$V$5,$V$9,FALSE)*_xlfn.NORM.DIST(F579,$W$5,$W$9,FALSE)*_xlfn.NORM.DIST(G579,$X$5,$X$9,FALSE)*_xlfn.NORM.DIST(H579,$Y$5,$Y$9,FALSE)</f>
        <v>1.9032968415676425E-13</v>
      </c>
      <c r="L579">
        <f t="shared" ref="L579:L642" si="38">IF(J579&gt;K579,1,0)</f>
        <v>0</v>
      </c>
      <c r="M579" t="str">
        <f t="shared" ref="M579:M642" si="39">IF(I579=L579,"right","no")</f>
        <v>no</v>
      </c>
    </row>
    <row r="580" spans="1:13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  <c r="J580">
        <f t="shared" si="36"/>
        <v>5.3613475126345733E-14</v>
      </c>
      <c r="K580">
        <f t="shared" si="37"/>
        <v>8.9096598390039691E-14</v>
      </c>
      <c r="L580">
        <f t="shared" si="38"/>
        <v>0</v>
      </c>
      <c r="M580" t="str">
        <f t="shared" si="39"/>
        <v>right</v>
      </c>
    </row>
    <row r="581" spans="1:13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  <c r="J581">
        <f t="shared" si="36"/>
        <v>8.0277609210306359E-19</v>
      </c>
      <c r="K581">
        <f t="shared" si="37"/>
        <v>3.010349302826739E-22</v>
      </c>
      <c r="L581">
        <f t="shared" si="38"/>
        <v>1</v>
      </c>
      <c r="M581" t="str">
        <f t="shared" si="39"/>
        <v>right</v>
      </c>
    </row>
    <row r="582" spans="1:13" hidden="1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  <c r="J582">
        <f t="shared" si="36"/>
        <v>1.7708886436087783E-14</v>
      </c>
      <c r="K582">
        <f t="shared" si="37"/>
        <v>1.7910450663772684E-14</v>
      </c>
      <c r="L582">
        <f t="shared" si="38"/>
        <v>0</v>
      </c>
      <c r="M582" t="str">
        <f t="shared" si="39"/>
        <v>no</v>
      </c>
    </row>
    <row r="583" spans="1:13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  <c r="J583">
        <f t="shared" si="36"/>
        <v>6.514497098909588E-14</v>
      </c>
      <c r="K583">
        <f t="shared" si="37"/>
        <v>1.5983569825609893E-12</v>
      </c>
      <c r="L583">
        <f t="shared" si="38"/>
        <v>0</v>
      </c>
      <c r="M583" t="str">
        <f t="shared" si="39"/>
        <v>right</v>
      </c>
    </row>
    <row r="584" spans="1:13" hidden="1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  <c r="J584">
        <f t="shared" si="36"/>
        <v>2.7326461140359964E-15</v>
      </c>
      <c r="K584">
        <f t="shared" si="37"/>
        <v>1.4935571914672861E-15</v>
      </c>
      <c r="L584">
        <f t="shared" si="38"/>
        <v>1</v>
      </c>
      <c r="M584" t="str">
        <f t="shared" si="39"/>
        <v>no</v>
      </c>
    </row>
    <row r="585" spans="1:13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  <c r="J585">
        <f t="shared" si="36"/>
        <v>5.6334698735409878E-14</v>
      </c>
      <c r="K585">
        <f t="shared" si="37"/>
        <v>1.4624958072956727E-13</v>
      </c>
      <c r="L585">
        <f t="shared" si="38"/>
        <v>0</v>
      </c>
      <c r="M585" t="str">
        <f t="shared" si="39"/>
        <v>right</v>
      </c>
    </row>
    <row r="586" spans="1:13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  <c r="J586">
        <f t="shared" si="36"/>
        <v>2.4030605915978516E-16</v>
      </c>
      <c r="K586">
        <f t="shared" si="37"/>
        <v>1.1340393339357131E-19</v>
      </c>
      <c r="L586">
        <f t="shared" si="38"/>
        <v>1</v>
      </c>
      <c r="M586" t="str">
        <f t="shared" si="39"/>
        <v>right</v>
      </c>
    </row>
    <row r="587" spans="1:13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  <c r="J587">
        <f t="shared" si="36"/>
        <v>8.0511560332292254E-15</v>
      </c>
      <c r="K587">
        <f t="shared" si="37"/>
        <v>9.5407315809882864E-13</v>
      </c>
      <c r="L587">
        <f t="shared" si="38"/>
        <v>0</v>
      </c>
      <c r="M587" t="str">
        <f t="shared" si="39"/>
        <v>right</v>
      </c>
    </row>
    <row r="588" spans="1:13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  <c r="J588">
        <f t="shared" si="36"/>
        <v>1.2801231582831551E-13</v>
      </c>
      <c r="K588">
        <f t="shared" si="37"/>
        <v>1.0517397185991686E-13</v>
      </c>
      <c r="L588">
        <f t="shared" si="38"/>
        <v>1</v>
      </c>
      <c r="M588" t="str">
        <f t="shared" si="39"/>
        <v>right</v>
      </c>
    </row>
    <row r="589" spans="1:13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  <c r="J589">
        <f t="shared" si="36"/>
        <v>3.1005163063334504E-14</v>
      </c>
      <c r="K589">
        <f t="shared" si="37"/>
        <v>8.6576313577647148E-13</v>
      </c>
      <c r="L589">
        <f t="shared" si="38"/>
        <v>0</v>
      </c>
      <c r="M589" t="str">
        <f t="shared" si="39"/>
        <v>right</v>
      </c>
    </row>
    <row r="590" spans="1:13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  <c r="J590">
        <f t="shared" si="36"/>
        <v>3.7607559369787259E-14</v>
      </c>
      <c r="K590">
        <f t="shared" si="37"/>
        <v>1.0380573463987325E-15</v>
      </c>
      <c r="L590">
        <f t="shared" si="38"/>
        <v>1</v>
      </c>
      <c r="M590" t="str">
        <f t="shared" si="39"/>
        <v>right</v>
      </c>
    </row>
    <row r="591" spans="1:13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  <c r="J591">
        <f t="shared" si="36"/>
        <v>5.221484551101006E-18</v>
      </c>
      <c r="K591">
        <f t="shared" si="37"/>
        <v>1.4809066199167426E-16</v>
      </c>
      <c r="L591">
        <f t="shared" si="38"/>
        <v>0</v>
      </c>
      <c r="M591" t="str">
        <f t="shared" si="39"/>
        <v>right</v>
      </c>
    </row>
    <row r="592" spans="1:13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  <c r="J592">
        <f t="shared" si="36"/>
        <v>8.8105557251817529E-15</v>
      </c>
      <c r="K592">
        <f t="shared" si="37"/>
        <v>6.9583377716656439E-16</v>
      </c>
      <c r="L592">
        <f t="shared" si="38"/>
        <v>1</v>
      </c>
      <c r="M592" t="str">
        <f t="shared" si="39"/>
        <v>right</v>
      </c>
    </row>
    <row r="593" spans="1:13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  <c r="J593">
        <f t="shared" si="36"/>
        <v>3.4600182189508779E-14</v>
      </c>
      <c r="K593">
        <f t="shared" si="37"/>
        <v>1.4791011498896035E-13</v>
      </c>
      <c r="L593">
        <f t="shared" si="38"/>
        <v>0</v>
      </c>
      <c r="M593" t="str">
        <f t="shared" si="39"/>
        <v>right</v>
      </c>
    </row>
    <row r="594" spans="1:13" hidden="1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  <c r="J594">
        <f t="shared" si="36"/>
        <v>2.1992662068721423E-13</v>
      </c>
      <c r="K594">
        <f t="shared" si="37"/>
        <v>5.9593174935207824E-13</v>
      </c>
      <c r="L594">
        <f t="shared" si="38"/>
        <v>0</v>
      </c>
      <c r="M594" t="str">
        <f t="shared" si="39"/>
        <v>no</v>
      </c>
    </row>
    <row r="595" spans="1:13" hidden="1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  <c r="J595">
        <f t="shared" si="36"/>
        <v>3.0085628293975628E-16</v>
      </c>
      <c r="K595">
        <f t="shared" si="37"/>
        <v>2.1548473074569788E-16</v>
      </c>
      <c r="L595">
        <f t="shared" si="38"/>
        <v>1</v>
      </c>
      <c r="M595" t="str">
        <f t="shared" si="39"/>
        <v>no</v>
      </c>
    </row>
    <row r="596" spans="1:13" hidden="1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  <c r="J596">
        <f t="shared" si="36"/>
        <v>2.0417773510491886E-13</v>
      </c>
      <c r="K596">
        <f t="shared" si="37"/>
        <v>1.299799345726861E-13</v>
      </c>
      <c r="L596">
        <f t="shared" si="38"/>
        <v>1</v>
      </c>
      <c r="M596" t="str">
        <f t="shared" si="39"/>
        <v>no</v>
      </c>
    </row>
    <row r="597" spans="1:13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  <c r="J597">
        <f t="shared" si="36"/>
        <v>3.4417851570785239E-14</v>
      </c>
      <c r="K597">
        <f t="shared" si="37"/>
        <v>7.610942405158061E-15</v>
      </c>
      <c r="L597">
        <f t="shared" si="38"/>
        <v>1</v>
      </c>
      <c r="M597" t="str">
        <f t="shared" si="39"/>
        <v>right</v>
      </c>
    </row>
    <row r="598" spans="1:13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  <c r="J598">
        <f t="shared" si="36"/>
        <v>1.8040021183324937E-15</v>
      </c>
      <c r="K598">
        <f t="shared" si="37"/>
        <v>1.4187286730561491E-14</v>
      </c>
      <c r="L598">
        <f t="shared" si="38"/>
        <v>0</v>
      </c>
      <c r="M598" t="str">
        <f t="shared" si="39"/>
        <v>right</v>
      </c>
    </row>
    <row r="599" spans="1:13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  <c r="J599">
        <f t="shared" si="36"/>
        <v>2.6894996907441073E-15</v>
      </c>
      <c r="K599">
        <f t="shared" si="37"/>
        <v>9.9086889772516094E-14</v>
      </c>
      <c r="L599">
        <f t="shared" si="38"/>
        <v>0</v>
      </c>
      <c r="M599" t="str">
        <f t="shared" si="39"/>
        <v>right</v>
      </c>
    </row>
    <row r="600" spans="1:13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  <c r="J600">
        <f t="shared" si="36"/>
        <v>6.0078550361853757E-14</v>
      </c>
      <c r="K600">
        <f t="shared" si="37"/>
        <v>2.6707796977356539E-14</v>
      </c>
      <c r="L600">
        <f t="shared" si="38"/>
        <v>1</v>
      </c>
      <c r="M600" t="str">
        <f t="shared" si="39"/>
        <v>right</v>
      </c>
    </row>
    <row r="601" spans="1:13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  <c r="J601">
        <f t="shared" si="36"/>
        <v>1.6069748885840583E-14</v>
      </c>
      <c r="K601">
        <f t="shared" si="37"/>
        <v>6.3823899662991628E-13</v>
      </c>
      <c r="L601">
        <f t="shared" si="38"/>
        <v>0</v>
      </c>
      <c r="M601" t="str">
        <f t="shared" si="39"/>
        <v>right</v>
      </c>
    </row>
    <row r="602" spans="1:13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  <c r="J602">
        <f t="shared" si="36"/>
        <v>4.9669365368695247E-14</v>
      </c>
      <c r="K602">
        <f t="shared" si="37"/>
        <v>1.6479968801742927E-12</v>
      </c>
      <c r="L602">
        <f t="shared" si="38"/>
        <v>0</v>
      </c>
      <c r="M602" t="str">
        <f t="shared" si="39"/>
        <v>right</v>
      </c>
    </row>
    <row r="603" spans="1:13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  <c r="J603">
        <f t="shared" si="36"/>
        <v>7.4579139010910768E-17</v>
      </c>
      <c r="K603">
        <f t="shared" si="37"/>
        <v>5.0496109196923883E-16</v>
      </c>
      <c r="L603">
        <f t="shared" si="38"/>
        <v>0</v>
      </c>
      <c r="M603" t="str">
        <f t="shared" si="39"/>
        <v>right</v>
      </c>
    </row>
    <row r="604" spans="1:13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  <c r="J604">
        <f t="shared" si="36"/>
        <v>7.1787066340966396E-14</v>
      </c>
      <c r="K604">
        <f t="shared" si="37"/>
        <v>9.2622685386376729E-13</v>
      </c>
      <c r="L604">
        <f t="shared" si="38"/>
        <v>0</v>
      </c>
      <c r="M604" t="str">
        <f t="shared" si="39"/>
        <v>right</v>
      </c>
    </row>
    <row r="605" spans="1:13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  <c r="J605">
        <f t="shared" si="36"/>
        <v>2.1510097861403835E-13</v>
      </c>
      <c r="K605">
        <f t="shared" si="37"/>
        <v>4.9026241479981662E-14</v>
      </c>
      <c r="L605">
        <f t="shared" si="38"/>
        <v>1</v>
      </c>
      <c r="M605" t="str">
        <f t="shared" si="39"/>
        <v>right</v>
      </c>
    </row>
    <row r="606" spans="1:13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  <c r="J606">
        <f t="shared" si="36"/>
        <v>2.9397186303010337E-16</v>
      </c>
      <c r="K606">
        <f t="shared" si="37"/>
        <v>2.421443175529673E-17</v>
      </c>
      <c r="L606">
        <f t="shared" si="38"/>
        <v>1</v>
      </c>
      <c r="M606" t="str">
        <f t="shared" si="39"/>
        <v>right</v>
      </c>
    </row>
    <row r="607" spans="1:13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  <c r="J607">
        <f t="shared" si="36"/>
        <v>1.0754336998738984E-13</v>
      </c>
      <c r="K607">
        <f t="shared" si="37"/>
        <v>1.1282913826089756E-12</v>
      </c>
      <c r="L607">
        <f t="shared" si="38"/>
        <v>0</v>
      </c>
      <c r="M607" t="str">
        <f t="shared" si="39"/>
        <v>right</v>
      </c>
    </row>
    <row r="608" spans="1:13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  <c r="J608">
        <f t="shared" si="36"/>
        <v>2.8647903486443821E-15</v>
      </c>
      <c r="K608">
        <f t="shared" si="37"/>
        <v>1.9492113210847389E-17</v>
      </c>
      <c r="L608">
        <f t="shared" si="38"/>
        <v>1</v>
      </c>
      <c r="M608" t="str">
        <f t="shared" si="39"/>
        <v>right</v>
      </c>
    </row>
    <row r="609" spans="1:13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  <c r="J609">
        <f t="shared" si="36"/>
        <v>8.4121800818696312E-15</v>
      </c>
      <c r="K609">
        <f t="shared" si="37"/>
        <v>1.0909126133268903E-12</v>
      </c>
      <c r="L609">
        <f t="shared" si="38"/>
        <v>0</v>
      </c>
      <c r="M609" t="str">
        <f t="shared" si="39"/>
        <v>right</v>
      </c>
    </row>
    <row r="610" spans="1:13" hidden="1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  <c r="J610">
        <f t="shared" si="36"/>
        <v>3.8009591221037473E-14</v>
      </c>
      <c r="K610">
        <f t="shared" si="37"/>
        <v>1.1272801885138125E-14</v>
      </c>
      <c r="L610">
        <f t="shared" si="38"/>
        <v>1</v>
      </c>
      <c r="M610" t="str">
        <f t="shared" si="39"/>
        <v>no</v>
      </c>
    </row>
    <row r="611" spans="1:13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  <c r="J611">
        <f t="shared" si="36"/>
        <v>1.9992879064360149E-14</v>
      </c>
      <c r="K611">
        <f t="shared" si="37"/>
        <v>7.8320840320572618E-13</v>
      </c>
      <c r="L611">
        <f t="shared" si="38"/>
        <v>0</v>
      </c>
      <c r="M611" t="str">
        <f t="shared" si="39"/>
        <v>right</v>
      </c>
    </row>
    <row r="612" spans="1:13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  <c r="J612">
        <f t="shared" si="36"/>
        <v>1.1362568201415345E-13</v>
      </c>
      <c r="K612">
        <f t="shared" si="37"/>
        <v>2.4208650885568476E-12</v>
      </c>
      <c r="L612">
        <f t="shared" si="38"/>
        <v>0</v>
      </c>
      <c r="M612" t="str">
        <f t="shared" si="39"/>
        <v>right</v>
      </c>
    </row>
    <row r="613" spans="1:13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  <c r="J613">
        <f t="shared" si="36"/>
        <v>3.5352735755055405E-13</v>
      </c>
      <c r="K613">
        <f t="shared" si="37"/>
        <v>9.5473548875859769E-14</v>
      </c>
      <c r="L613">
        <f t="shared" si="38"/>
        <v>1</v>
      </c>
      <c r="M613" t="str">
        <f t="shared" si="39"/>
        <v>right</v>
      </c>
    </row>
    <row r="614" spans="1:13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  <c r="J614">
        <f t="shared" si="36"/>
        <v>5.0857089562135457E-14</v>
      </c>
      <c r="K614">
        <f t="shared" si="37"/>
        <v>4.0840436988796488E-16</v>
      </c>
      <c r="L614">
        <f t="shared" si="38"/>
        <v>1</v>
      </c>
      <c r="M614" t="str">
        <f t="shared" si="39"/>
        <v>right</v>
      </c>
    </row>
    <row r="615" spans="1:13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  <c r="J615">
        <f t="shared" si="36"/>
        <v>1.374369298823899E-13</v>
      </c>
      <c r="K615">
        <f t="shared" si="37"/>
        <v>6.8670789734964244E-13</v>
      </c>
      <c r="L615">
        <f t="shared" si="38"/>
        <v>0</v>
      </c>
      <c r="M615" t="str">
        <f t="shared" si="39"/>
        <v>right</v>
      </c>
    </row>
    <row r="616" spans="1:13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  <c r="J616">
        <f t="shared" si="36"/>
        <v>1.2714942676058864E-13</v>
      </c>
      <c r="K616">
        <f t="shared" si="37"/>
        <v>1.7962321774570136E-14</v>
      </c>
      <c r="L616">
        <f t="shared" si="38"/>
        <v>1</v>
      </c>
      <c r="M616" t="str">
        <f t="shared" si="39"/>
        <v>right</v>
      </c>
    </row>
    <row r="617" spans="1:13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  <c r="J617">
        <f t="shared" si="36"/>
        <v>3.3992165454176118E-14</v>
      </c>
      <c r="K617">
        <f t="shared" si="37"/>
        <v>1.2875196512821598E-12</v>
      </c>
      <c r="L617">
        <f t="shared" si="38"/>
        <v>0</v>
      </c>
      <c r="M617" t="str">
        <f t="shared" si="39"/>
        <v>right</v>
      </c>
    </row>
    <row r="618" spans="1:13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  <c r="J618">
        <f t="shared" si="36"/>
        <v>4.2752864141121469E-14</v>
      </c>
      <c r="K618">
        <f t="shared" si="37"/>
        <v>2.8346557789960532E-13</v>
      </c>
      <c r="L618">
        <f t="shared" si="38"/>
        <v>0</v>
      </c>
      <c r="M618" t="str">
        <f t="shared" si="39"/>
        <v>right</v>
      </c>
    </row>
    <row r="619" spans="1:13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  <c r="J619">
        <f t="shared" si="36"/>
        <v>1.4524791933478289E-15</v>
      </c>
      <c r="K619">
        <f t="shared" si="37"/>
        <v>3.4528236037310692E-13</v>
      </c>
      <c r="L619">
        <f t="shared" si="38"/>
        <v>0</v>
      </c>
      <c r="M619" t="str">
        <f t="shared" si="39"/>
        <v>right</v>
      </c>
    </row>
    <row r="620" spans="1:13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  <c r="J620">
        <f t="shared" si="36"/>
        <v>1.1806997207000882E-14</v>
      </c>
      <c r="K620">
        <f t="shared" si="37"/>
        <v>2.8978260714465835E-15</v>
      </c>
      <c r="L620">
        <f t="shared" si="38"/>
        <v>1</v>
      </c>
      <c r="M620" t="str">
        <f t="shared" si="39"/>
        <v>right</v>
      </c>
    </row>
    <row r="621" spans="1:13" hidden="1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  <c r="J621">
        <f t="shared" si="36"/>
        <v>1.3961790374998883E-16</v>
      </c>
      <c r="K621">
        <f t="shared" si="37"/>
        <v>4.6682235257906431E-16</v>
      </c>
      <c r="L621">
        <f t="shared" si="38"/>
        <v>0</v>
      </c>
      <c r="M621" t="str">
        <f t="shared" si="39"/>
        <v>no</v>
      </c>
    </row>
    <row r="622" spans="1:13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  <c r="J622">
        <f t="shared" si="36"/>
        <v>9.202289338879599E-14</v>
      </c>
      <c r="K622">
        <f t="shared" si="37"/>
        <v>3.7012281866023874E-13</v>
      </c>
      <c r="L622">
        <f t="shared" si="38"/>
        <v>0</v>
      </c>
      <c r="M622" t="str">
        <f t="shared" si="39"/>
        <v>right</v>
      </c>
    </row>
    <row r="623" spans="1:13" hidden="1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  <c r="J623">
        <f t="shared" si="36"/>
        <v>3.5946305433876532E-16</v>
      </c>
      <c r="K623">
        <f t="shared" si="37"/>
        <v>3.0678037800417654E-16</v>
      </c>
      <c r="L623">
        <f t="shared" si="38"/>
        <v>1</v>
      </c>
      <c r="M623" t="str">
        <f t="shared" si="39"/>
        <v>no</v>
      </c>
    </row>
    <row r="624" spans="1:13" hidden="1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  <c r="J624">
        <f t="shared" si="36"/>
        <v>2.4579964415295784E-15</v>
      </c>
      <c r="K624">
        <f t="shared" si="37"/>
        <v>5.5859961412372603E-18</v>
      </c>
      <c r="L624">
        <f t="shared" si="38"/>
        <v>1</v>
      </c>
      <c r="M624" t="str">
        <f t="shared" si="39"/>
        <v>no</v>
      </c>
    </row>
    <row r="625" spans="1:13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  <c r="J625">
        <f t="shared" si="36"/>
        <v>2.2520686184707819E-14</v>
      </c>
      <c r="K625">
        <f t="shared" si="37"/>
        <v>3.7049055727699268E-13</v>
      </c>
      <c r="L625">
        <f t="shared" si="38"/>
        <v>0</v>
      </c>
      <c r="M625" t="str">
        <f t="shared" si="39"/>
        <v>right</v>
      </c>
    </row>
    <row r="626" spans="1:13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  <c r="J626">
        <f t="shared" si="36"/>
        <v>2.5588888187998292E-14</v>
      </c>
      <c r="K626">
        <f t="shared" si="37"/>
        <v>8.926221243022989E-13</v>
      </c>
      <c r="L626">
        <f t="shared" si="38"/>
        <v>0</v>
      </c>
      <c r="M626" t="str">
        <f t="shared" si="39"/>
        <v>right</v>
      </c>
    </row>
    <row r="627" spans="1:13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  <c r="J627">
        <f t="shared" si="36"/>
        <v>4.6799301689351933E-14</v>
      </c>
      <c r="K627">
        <f t="shared" si="37"/>
        <v>2.9995213124391208E-13</v>
      </c>
      <c r="L627">
        <f t="shared" si="38"/>
        <v>0</v>
      </c>
      <c r="M627" t="str">
        <f t="shared" si="39"/>
        <v>right</v>
      </c>
    </row>
    <row r="628" spans="1:13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  <c r="J628">
        <f t="shared" si="36"/>
        <v>1.1210595519174907E-14</v>
      </c>
      <c r="K628">
        <f t="shared" si="37"/>
        <v>4.1295056548866676E-13</v>
      </c>
      <c r="L628">
        <f t="shared" si="38"/>
        <v>0</v>
      </c>
      <c r="M628" t="str">
        <f t="shared" si="39"/>
        <v>right</v>
      </c>
    </row>
    <row r="629" spans="1:13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  <c r="J629">
        <f t="shared" si="36"/>
        <v>4.2868891956570647E-14</v>
      </c>
      <c r="K629">
        <f t="shared" si="37"/>
        <v>4.8623295843134599E-13</v>
      </c>
      <c r="L629">
        <f t="shared" si="38"/>
        <v>0</v>
      </c>
      <c r="M629" t="str">
        <f t="shared" si="39"/>
        <v>right</v>
      </c>
    </row>
    <row r="630" spans="1:13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  <c r="J630">
        <f t="shared" si="36"/>
        <v>1.3390352869186783E-13</v>
      </c>
      <c r="K630">
        <f t="shared" si="37"/>
        <v>3.2670733553155042E-13</v>
      </c>
      <c r="L630">
        <f t="shared" si="38"/>
        <v>0</v>
      </c>
      <c r="M630" t="str">
        <f t="shared" si="39"/>
        <v>right</v>
      </c>
    </row>
    <row r="631" spans="1:13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  <c r="J631">
        <f t="shared" si="36"/>
        <v>1.767592760966226E-14</v>
      </c>
      <c r="K631">
        <f t="shared" si="37"/>
        <v>1.4112771243993978E-12</v>
      </c>
      <c r="L631">
        <f t="shared" si="38"/>
        <v>0</v>
      </c>
      <c r="M631" t="str">
        <f t="shared" si="39"/>
        <v>right</v>
      </c>
    </row>
    <row r="632" spans="1:13" hidden="1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  <c r="J632">
        <f t="shared" si="36"/>
        <v>1.0270727503779121E-13</v>
      </c>
      <c r="K632">
        <f t="shared" si="37"/>
        <v>5.5014991457698669E-13</v>
      </c>
      <c r="L632">
        <f t="shared" si="38"/>
        <v>0</v>
      </c>
      <c r="M632" t="str">
        <f t="shared" si="39"/>
        <v>no</v>
      </c>
    </row>
    <row r="633" spans="1:13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  <c r="J633">
        <f t="shared" si="36"/>
        <v>4.2461005789642312E-14</v>
      </c>
      <c r="K633">
        <f t="shared" si="37"/>
        <v>6.8894869404053362E-13</v>
      </c>
      <c r="L633">
        <f t="shared" si="38"/>
        <v>0</v>
      </c>
      <c r="M633" t="str">
        <f t="shared" si="39"/>
        <v>right</v>
      </c>
    </row>
    <row r="634" spans="1:13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  <c r="J634">
        <f t="shared" si="36"/>
        <v>2.7956920911840866E-14</v>
      </c>
      <c r="K634">
        <f t="shared" si="37"/>
        <v>1.1948852398822594E-12</v>
      </c>
      <c r="L634">
        <f t="shared" si="38"/>
        <v>0</v>
      </c>
      <c r="M634" t="str">
        <f t="shared" si="39"/>
        <v>right</v>
      </c>
    </row>
    <row r="635" spans="1:13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  <c r="J635">
        <f t="shared" si="36"/>
        <v>4.5889465956536366E-14</v>
      </c>
      <c r="K635">
        <f t="shared" si="37"/>
        <v>5.9759891428615959E-13</v>
      </c>
      <c r="L635">
        <f t="shared" si="38"/>
        <v>0</v>
      </c>
      <c r="M635" t="str">
        <f t="shared" si="39"/>
        <v>right</v>
      </c>
    </row>
    <row r="636" spans="1:13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  <c r="J636">
        <f t="shared" si="36"/>
        <v>9.2722928420317003E-15</v>
      </c>
      <c r="K636">
        <f t="shared" si="37"/>
        <v>8.1485059795075439E-14</v>
      </c>
      <c r="L636">
        <f t="shared" si="38"/>
        <v>0</v>
      </c>
      <c r="M636" t="str">
        <f t="shared" si="39"/>
        <v>right</v>
      </c>
    </row>
    <row r="637" spans="1:13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  <c r="J637">
        <f t="shared" si="36"/>
        <v>1.5066549619923044E-14</v>
      </c>
      <c r="K637">
        <f t="shared" si="37"/>
        <v>1.0074942885446083E-14</v>
      </c>
      <c r="L637">
        <f t="shared" si="38"/>
        <v>1</v>
      </c>
      <c r="M637" t="str">
        <f t="shared" si="39"/>
        <v>right</v>
      </c>
    </row>
    <row r="638" spans="1:13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  <c r="J638">
        <f t="shared" si="36"/>
        <v>4.4499641377956937E-14</v>
      </c>
      <c r="K638">
        <f t="shared" si="37"/>
        <v>3.9958342006589623E-13</v>
      </c>
      <c r="L638">
        <f t="shared" si="38"/>
        <v>0</v>
      </c>
      <c r="M638" t="str">
        <f t="shared" si="39"/>
        <v>right</v>
      </c>
    </row>
    <row r="639" spans="1:13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  <c r="J639">
        <f t="shared" si="36"/>
        <v>9.2859908023874085E-14</v>
      </c>
      <c r="K639">
        <f t="shared" si="37"/>
        <v>2.7455904736372948E-12</v>
      </c>
      <c r="L639">
        <f t="shared" si="38"/>
        <v>0</v>
      </c>
      <c r="M639" t="str">
        <f t="shared" si="39"/>
        <v>right</v>
      </c>
    </row>
    <row r="640" spans="1:13" hidden="1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  <c r="J640">
        <f t="shared" si="36"/>
        <v>1.3198453996774253E-13</v>
      </c>
      <c r="K640">
        <f t="shared" si="37"/>
        <v>2.324229639845431E-13</v>
      </c>
      <c r="L640">
        <f t="shared" si="38"/>
        <v>0</v>
      </c>
      <c r="M640" t="str">
        <f t="shared" si="39"/>
        <v>no</v>
      </c>
    </row>
    <row r="641" spans="1:13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  <c r="J641">
        <f t="shared" si="36"/>
        <v>8.3265948394012421E-15</v>
      </c>
      <c r="K641">
        <f t="shared" si="37"/>
        <v>8.871235051784827E-13</v>
      </c>
      <c r="L641">
        <f t="shared" si="38"/>
        <v>0</v>
      </c>
      <c r="M641" t="str">
        <f t="shared" si="39"/>
        <v>right</v>
      </c>
    </row>
    <row r="642" spans="1:13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  <c r="J642">
        <f t="shared" si="36"/>
        <v>7.1459953235842319E-14</v>
      </c>
      <c r="K642">
        <f t="shared" si="37"/>
        <v>1.2701318386093863E-12</v>
      </c>
      <c r="L642">
        <f t="shared" si="38"/>
        <v>0</v>
      </c>
      <c r="M642" t="str">
        <f t="shared" si="39"/>
        <v>right</v>
      </c>
    </row>
    <row r="643" spans="1:13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  <c r="J643">
        <f t="shared" ref="J643:J701" si="40">$S$1*_xlfn.NORM.DIST(A643,$R$6,$R$10,FALSE)*_xlfn.NORM.DIST(B643,$S$6,$S$10,FALSE)*_xlfn.NORM.DIST(C643,$T$6,$T$10,FALSE)*_xlfn.NORM.DIST(D643,$U$6,$U$10,FALSE)*_xlfn.NORM.DIST(E643,$V$6,$V$10,FALSE)*_xlfn.NORM.DIST(F643,$W$6,$W$10,FALSE)*_xlfn.NORM.DIST(G643,$X$6,$X$10,FALSE)*_xlfn.NORM.DIST(H643,$Y$6,$Y$10,FALSE)</f>
        <v>1.3220165359181509E-13</v>
      </c>
      <c r="K643">
        <f t="shared" ref="K643:K701" si="41">$S$2*_xlfn.NORM.DIST(A643,$R$5,$R$9,FALSE)*_xlfn.NORM.DIST(B643,$S$5,$S$9,FALSE)*_xlfn.NORM.DIST(C643,$T$5,$T$9,FALSE)*_xlfn.NORM.DIST(D643,$U$5,$U$9,FALSE)*_xlfn.NORM.DIST(E643,$V$5,$V$9,FALSE)*_xlfn.NORM.DIST(F643,$W$5,$W$9,FALSE)*_xlfn.NORM.DIST(G643,$X$5,$X$9,FALSE)*_xlfn.NORM.DIST(H643,$Y$5,$Y$9,FALSE)</f>
        <v>1.1280182213254679E-12</v>
      </c>
      <c r="L643">
        <f t="shared" ref="L643:L701" si="42">IF(J643&gt;K643,1,0)</f>
        <v>0</v>
      </c>
      <c r="M643" t="str">
        <f t="shared" ref="M643:M701" si="43">IF(I643=L643,"right","no")</f>
        <v>right</v>
      </c>
    </row>
    <row r="644" spans="1:13" hidden="1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  <c r="J644">
        <f t="shared" si="40"/>
        <v>7.2580749228035381E-14</v>
      </c>
      <c r="K644">
        <f t="shared" si="41"/>
        <v>8.4410195548923395E-14</v>
      </c>
      <c r="L644">
        <f t="shared" si="42"/>
        <v>0</v>
      </c>
      <c r="M644" t="str">
        <f t="shared" si="43"/>
        <v>no</v>
      </c>
    </row>
    <row r="645" spans="1:13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  <c r="J645">
        <f t="shared" si="40"/>
        <v>2.3259964043691898E-16</v>
      </c>
      <c r="K645">
        <f t="shared" si="41"/>
        <v>1.0432182958072397E-15</v>
      </c>
      <c r="L645">
        <f t="shared" si="42"/>
        <v>0</v>
      </c>
      <c r="M645" t="str">
        <f t="shared" si="43"/>
        <v>right</v>
      </c>
    </row>
    <row r="646" spans="1:13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  <c r="J646">
        <f t="shared" si="40"/>
        <v>1.3366639078407627E-13</v>
      </c>
      <c r="K646">
        <f t="shared" si="41"/>
        <v>1.8789600451929125E-12</v>
      </c>
      <c r="L646">
        <f t="shared" si="42"/>
        <v>0</v>
      </c>
      <c r="M646" t="str">
        <f t="shared" si="43"/>
        <v>right</v>
      </c>
    </row>
    <row r="647" spans="1:13" hidden="1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  <c r="J647">
        <f t="shared" si="40"/>
        <v>9.8698326467520656E-15</v>
      </c>
      <c r="K647">
        <f t="shared" si="41"/>
        <v>1.8119554048744956E-16</v>
      </c>
      <c r="L647">
        <f t="shared" si="42"/>
        <v>1</v>
      </c>
      <c r="M647" t="str">
        <f t="shared" si="43"/>
        <v>no</v>
      </c>
    </row>
    <row r="648" spans="1:13" hidden="1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  <c r="J648">
        <f t="shared" si="40"/>
        <v>1.0015344657490999E-13</v>
      </c>
      <c r="K648">
        <f t="shared" si="41"/>
        <v>2.1785251160441607E-13</v>
      </c>
      <c r="L648">
        <f t="shared" si="42"/>
        <v>0</v>
      </c>
      <c r="M648" t="str">
        <f t="shared" si="43"/>
        <v>no</v>
      </c>
    </row>
    <row r="649" spans="1:13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  <c r="J649">
        <f t="shared" si="40"/>
        <v>3.4138227835792157E-14</v>
      </c>
      <c r="K649">
        <f t="shared" si="41"/>
        <v>1.1359857899623439E-14</v>
      </c>
      <c r="L649">
        <f t="shared" si="42"/>
        <v>1</v>
      </c>
      <c r="M649" t="str">
        <f t="shared" si="43"/>
        <v>right</v>
      </c>
    </row>
    <row r="650" spans="1:13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  <c r="J650">
        <f t="shared" si="40"/>
        <v>7.3805655977225588E-14</v>
      </c>
      <c r="K650">
        <f t="shared" si="41"/>
        <v>2.8319799332547484E-14</v>
      </c>
      <c r="L650">
        <f t="shared" si="42"/>
        <v>1</v>
      </c>
      <c r="M650" t="str">
        <f t="shared" si="43"/>
        <v>right</v>
      </c>
    </row>
    <row r="651" spans="1:13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  <c r="J651">
        <f t="shared" si="40"/>
        <v>1.9786107183666591E-14</v>
      </c>
      <c r="K651">
        <f t="shared" si="41"/>
        <v>1.0394384383890188E-12</v>
      </c>
      <c r="L651">
        <f t="shared" si="42"/>
        <v>0</v>
      </c>
      <c r="M651" t="str">
        <f t="shared" si="43"/>
        <v>right</v>
      </c>
    </row>
    <row r="652" spans="1:13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  <c r="J652">
        <f t="shared" si="40"/>
        <v>1.5975276115079171E-14</v>
      </c>
      <c r="K652">
        <f t="shared" si="41"/>
        <v>1.299742579301349E-12</v>
      </c>
      <c r="L652">
        <f t="shared" si="42"/>
        <v>0</v>
      </c>
      <c r="M652" t="str">
        <f t="shared" si="43"/>
        <v>right</v>
      </c>
    </row>
    <row r="653" spans="1:13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  <c r="J653">
        <f t="shared" si="40"/>
        <v>2.6184204293281179E-13</v>
      </c>
      <c r="K653">
        <f t="shared" si="41"/>
        <v>3.3841505667533322E-12</v>
      </c>
      <c r="L653">
        <f t="shared" si="42"/>
        <v>0</v>
      </c>
      <c r="M653" t="str">
        <f t="shared" si="43"/>
        <v>right</v>
      </c>
    </row>
    <row r="654" spans="1:13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  <c r="J654">
        <f t="shared" si="40"/>
        <v>2.8346150491529692E-13</v>
      </c>
      <c r="K654">
        <f t="shared" si="41"/>
        <v>1.4109336053517966E-12</v>
      </c>
      <c r="L654">
        <f t="shared" si="42"/>
        <v>0</v>
      </c>
      <c r="M654" t="str">
        <f t="shared" si="43"/>
        <v>right</v>
      </c>
    </row>
    <row r="655" spans="1:13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  <c r="J655">
        <f t="shared" si="40"/>
        <v>5.4611074652062462E-14</v>
      </c>
      <c r="K655">
        <f t="shared" si="41"/>
        <v>1.1719197863376351E-12</v>
      </c>
      <c r="L655">
        <f t="shared" si="42"/>
        <v>0</v>
      </c>
      <c r="M655" t="str">
        <f t="shared" si="43"/>
        <v>right</v>
      </c>
    </row>
    <row r="656" spans="1:13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  <c r="J656">
        <f t="shared" si="40"/>
        <v>6.6654684860145596E-14</v>
      </c>
      <c r="K656">
        <f t="shared" si="41"/>
        <v>1.3909684523499979E-12</v>
      </c>
      <c r="L656">
        <f t="shared" si="42"/>
        <v>0</v>
      </c>
      <c r="M656" t="str">
        <f t="shared" si="43"/>
        <v>right</v>
      </c>
    </row>
    <row r="657" spans="1:13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  <c r="J657">
        <f t="shared" si="40"/>
        <v>1.0812662357175035E-15</v>
      </c>
      <c r="K657">
        <f t="shared" si="41"/>
        <v>3.8193209660088109E-18</v>
      </c>
      <c r="L657">
        <f t="shared" si="42"/>
        <v>1</v>
      </c>
      <c r="M657" t="str">
        <f t="shared" si="43"/>
        <v>right</v>
      </c>
    </row>
    <row r="658" spans="1:13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  <c r="J658">
        <f t="shared" si="40"/>
        <v>9.5421295542291003E-15</v>
      </c>
      <c r="K658">
        <f t="shared" si="41"/>
        <v>7.4934272575995025E-13</v>
      </c>
      <c r="L658">
        <f t="shared" si="42"/>
        <v>0</v>
      </c>
      <c r="M658" t="str">
        <f t="shared" si="43"/>
        <v>right</v>
      </c>
    </row>
    <row r="659" spans="1:13" hidden="1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  <c r="J659">
        <f t="shared" si="40"/>
        <v>2.6149567654981024E-14</v>
      </c>
      <c r="K659">
        <f t="shared" si="41"/>
        <v>4.8665518193268909E-15</v>
      </c>
      <c r="L659">
        <f t="shared" si="42"/>
        <v>1</v>
      </c>
      <c r="M659" t="str">
        <f t="shared" si="43"/>
        <v>no</v>
      </c>
    </row>
    <row r="660" spans="1:13" hidden="1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  <c r="J660">
        <f t="shared" si="40"/>
        <v>5.6719188650301434E-15</v>
      </c>
      <c r="K660">
        <f t="shared" si="41"/>
        <v>7.0398670265919995E-16</v>
      </c>
      <c r="L660">
        <f t="shared" si="42"/>
        <v>1</v>
      </c>
      <c r="M660" t="str">
        <f t="shared" si="43"/>
        <v>no</v>
      </c>
    </row>
    <row r="661" spans="1:13" hidden="1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  <c r="J661">
        <f t="shared" si="40"/>
        <v>1.02044465314383E-14</v>
      </c>
      <c r="K661">
        <f t="shared" si="41"/>
        <v>2.5357980008754803E-14</v>
      </c>
      <c r="L661">
        <f t="shared" si="42"/>
        <v>0</v>
      </c>
      <c r="M661" t="str">
        <f t="shared" si="43"/>
        <v>no</v>
      </c>
    </row>
    <row r="662" spans="1:13" hidden="1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  <c r="J662">
        <f t="shared" si="40"/>
        <v>1.0896186227391417E-14</v>
      </c>
      <c r="K662">
        <f t="shared" si="41"/>
        <v>1.7698217393607767E-15</v>
      </c>
      <c r="L662">
        <f t="shared" si="42"/>
        <v>1</v>
      </c>
      <c r="M662" t="str">
        <f t="shared" si="43"/>
        <v>no</v>
      </c>
    </row>
    <row r="663" spans="1:13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  <c r="J663">
        <f t="shared" si="40"/>
        <v>7.7872166721079517E-16</v>
      </c>
      <c r="K663">
        <f t="shared" si="41"/>
        <v>3.4330420704583976E-18</v>
      </c>
      <c r="L663">
        <f t="shared" si="42"/>
        <v>1</v>
      </c>
      <c r="M663" t="str">
        <f t="shared" si="43"/>
        <v>right</v>
      </c>
    </row>
    <row r="664" spans="1:13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  <c r="J664">
        <f t="shared" si="40"/>
        <v>1.7736049523048149E-14</v>
      </c>
      <c r="K664">
        <f t="shared" si="41"/>
        <v>2.9458244488160263E-16</v>
      </c>
      <c r="L664">
        <f t="shared" si="42"/>
        <v>1</v>
      </c>
      <c r="M664" t="str">
        <f t="shared" si="43"/>
        <v>right</v>
      </c>
    </row>
    <row r="665" spans="1:13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  <c r="J665">
        <f t="shared" si="40"/>
        <v>1.8267590208730244E-13</v>
      </c>
      <c r="K665">
        <f t="shared" si="41"/>
        <v>2.3589285819889669E-14</v>
      </c>
      <c r="L665">
        <f t="shared" si="42"/>
        <v>1</v>
      </c>
      <c r="M665" t="str">
        <f t="shared" si="43"/>
        <v>right</v>
      </c>
    </row>
    <row r="666" spans="1:13" hidden="1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  <c r="J666">
        <f t="shared" si="40"/>
        <v>2.1377597945036869E-13</v>
      </c>
      <c r="K666">
        <f t="shared" si="41"/>
        <v>7.6972052423216099E-13</v>
      </c>
      <c r="L666">
        <f t="shared" si="42"/>
        <v>0</v>
      </c>
      <c r="M666" t="str">
        <f t="shared" si="43"/>
        <v>no</v>
      </c>
    </row>
    <row r="667" spans="1:13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  <c r="J667">
        <f t="shared" si="40"/>
        <v>5.2783407860004915E-14</v>
      </c>
      <c r="K667">
        <f t="shared" si="41"/>
        <v>4.2578989236946634E-13</v>
      </c>
      <c r="L667">
        <f t="shared" si="42"/>
        <v>0</v>
      </c>
      <c r="M667" t="str">
        <f t="shared" si="43"/>
        <v>right</v>
      </c>
    </row>
    <row r="668" spans="1:13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  <c r="J668">
        <f t="shared" si="40"/>
        <v>4.9121067753933291E-15</v>
      </c>
      <c r="K668">
        <f t="shared" si="41"/>
        <v>4.838531024212488E-15</v>
      </c>
      <c r="L668">
        <f t="shared" si="42"/>
        <v>1</v>
      </c>
      <c r="M668" t="str">
        <f t="shared" si="43"/>
        <v>right</v>
      </c>
    </row>
    <row r="669" spans="1:13" hidden="1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  <c r="J669">
        <f t="shared" si="40"/>
        <v>6.0246533116801682E-14</v>
      </c>
      <c r="K669">
        <f t="shared" si="41"/>
        <v>1.7641431710866136E-13</v>
      </c>
      <c r="L669">
        <f t="shared" si="42"/>
        <v>0</v>
      </c>
      <c r="M669" t="str">
        <f t="shared" si="43"/>
        <v>no</v>
      </c>
    </row>
    <row r="670" spans="1:13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  <c r="J670">
        <f t="shared" si="40"/>
        <v>1.8750923940749045E-13</v>
      </c>
      <c r="K670">
        <f t="shared" si="41"/>
        <v>5.9073293315207569E-13</v>
      </c>
      <c r="L670">
        <f t="shared" si="42"/>
        <v>0</v>
      </c>
      <c r="M670" t="str">
        <f t="shared" si="43"/>
        <v>right</v>
      </c>
    </row>
    <row r="671" spans="1:13" hidden="1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  <c r="J671">
        <f t="shared" si="40"/>
        <v>1.7553021631757823E-13</v>
      </c>
      <c r="K671">
        <f t="shared" si="41"/>
        <v>5.9533058247556875E-14</v>
      </c>
      <c r="L671">
        <f t="shared" si="42"/>
        <v>1</v>
      </c>
      <c r="M671" t="str">
        <f t="shared" si="43"/>
        <v>no</v>
      </c>
    </row>
    <row r="672" spans="1:13" hidden="1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  <c r="J672">
        <f t="shared" si="40"/>
        <v>3.5482587696162026E-13</v>
      </c>
      <c r="K672">
        <f t="shared" si="41"/>
        <v>6.2390814954333042E-14</v>
      </c>
      <c r="L672">
        <f t="shared" si="42"/>
        <v>1</v>
      </c>
      <c r="M672" t="str">
        <f t="shared" si="43"/>
        <v>no</v>
      </c>
    </row>
    <row r="673" spans="1:13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  <c r="J673">
        <f t="shared" si="40"/>
        <v>1.8629193615399529E-14</v>
      </c>
      <c r="K673">
        <f t="shared" si="41"/>
        <v>1.2996576618999404E-12</v>
      </c>
      <c r="L673">
        <f t="shared" si="42"/>
        <v>0</v>
      </c>
      <c r="M673" t="str">
        <f t="shared" si="43"/>
        <v>right</v>
      </c>
    </row>
    <row r="674" spans="1:13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  <c r="J674">
        <f t="shared" si="40"/>
        <v>3.8049166279668579E-15</v>
      </c>
      <c r="K674">
        <f t="shared" si="41"/>
        <v>4.8074979432129773E-15</v>
      </c>
      <c r="L674">
        <f t="shared" si="42"/>
        <v>0</v>
      </c>
      <c r="M674" t="str">
        <f t="shared" si="43"/>
        <v>right</v>
      </c>
    </row>
    <row r="675" spans="1:13" hidden="1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  <c r="J675">
        <f t="shared" si="40"/>
        <v>3.7324085106981236E-16</v>
      </c>
      <c r="K675">
        <f t="shared" si="41"/>
        <v>8.3009287692107879E-17</v>
      </c>
      <c r="L675">
        <f t="shared" si="42"/>
        <v>1</v>
      </c>
      <c r="M675" t="str">
        <f t="shared" si="43"/>
        <v>no</v>
      </c>
    </row>
    <row r="676" spans="1:13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  <c r="J676">
        <f t="shared" si="40"/>
        <v>1.2555701575153731E-15</v>
      </c>
      <c r="K676">
        <f t="shared" si="41"/>
        <v>1.8042902842638401E-15</v>
      </c>
      <c r="L676">
        <f t="shared" si="42"/>
        <v>0</v>
      </c>
      <c r="M676" t="str">
        <f t="shared" si="43"/>
        <v>right</v>
      </c>
    </row>
    <row r="680" spans="1:13" hidden="1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  <c r="J680">
        <f t="shared" si="40"/>
        <v>5.2838903288394345E-14</v>
      </c>
      <c r="K680">
        <f t="shared" si="41"/>
        <v>5.3923471920500923E-13</v>
      </c>
      <c r="L680">
        <f t="shared" si="42"/>
        <v>0</v>
      </c>
      <c r="M680" t="str">
        <f t="shared" si="43"/>
        <v>no</v>
      </c>
    </row>
    <row r="685" spans="1:13" hidden="1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  <c r="J685">
        <f t="shared" si="40"/>
        <v>1.7933851089160253E-13</v>
      </c>
      <c r="K685">
        <f t="shared" si="41"/>
        <v>1.2680153625288494E-12</v>
      </c>
      <c r="L685">
        <f t="shared" si="42"/>
        <v>0</v>
      </c>
      <c r="M685" t="str">
        <f t="shared" si="43"/>
        <v>no</v>
      </c>
    </row>
    <row r="698" spans="1:13" hidden="1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  <c r="J698">
        <f t="shared" si="40"/>
        <v>3.1019104398802638E-13</v>
      </c>
      <c r="K698">
        <f t="shared" si="41"/>
        <v>3.6905343425178699E-13</v>
      </c>
      <c r="L698">
        <f t="shared" si="42"/>
        <v>0</v>
      </c>
      <c r="M698" t="str">
        <f t="shared" si="43"/>
        <v>no</v>
      </c>
    </row>
  </sheetData>
  <autoFilter ref="A1:M701" xr:uid="{0E5F78BB-34F9-4A49-B53B-EE62C5C2D5FA}">
    <filterColumn colId="12">
      <filters>
        <filter val="righ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E69A-D620-4225-8DC3-4743B7198BEB}">
  <dimension ref="A3:I6"/>
  <sheetViews>
    <sheetView topLeftCell="B1" workbookViewId="0">
      <selection activeCell="B2" sqref="B2:I8"/>
    </sheetView>
  </sheetViews>
  <sheetFormatPr defaultRowHeight="14.4" x14ac:dyDescent="0.3"/>
  <cols>
    <col min="1" max="1" width="12.44140625" bestFit="1" customWidth="1"/>
    <col min="2" max="2" width="19.5546875" bestFit="1" customWidth="1"/>
    <col min="3" max="3" width="16.109375" bestFit="1" customWidth="1"/>
    <col min="4" max="4" width="21.5546875" bestFit="1" customWidth="1"/>
    <col min="5" max="5" width="21.44140625" bestFit="1" customWidth="1"/>
    <col min="6" max="6" width="14.88671875" bestFit="1" customWidth="1"/>
    <col min="7" max="7" width="12.33203125" bestFit="1" customWidth="1"/>
    <col min="8" max="8" width="31.77734375" bestFit="1" customWidth="1"/>
    <col min="9" max="9" width="12.21875" bestFit="1" customWidth="1"/>
  </cols>
  <sheetData>
    <row r="3" spans="1:9" x14ac:dyDescent="0.3">
      <c r="A3" s="1" t="s">
        <v>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s="2">
        <v>0</v>
      </c>
      <c r="B4">
        <v>3.0171845826218893</v>
      </c>
      <c r="C4">
        <v>26.141199755353583</v>
      </c>
      <c r="D4">
        <v>18.063075413305839</v>
      </c>
      <c r="E4">
        <v>14.889947113744233</v>
      </c>
      <c r="F4">
        <v>98.865289292317883</v>
      </c>
      <c r="G4">
        <v>7.689855011650284</v>
      </c>
      <c r="H4">
        <v>0.29908530435741093</v>
      </c>
      <c r="I4">
        <v>11.667654791631152</v>
      </c>
    </row>
    <row r="5" spans="1:9" x14ac:dyDescent="0.3">
      <c r="A5" s="2">
        <v>1</v>
      </c>
      <c r="B5">
        <v>3.7412390440415546</v>
      </c>
      <c r="C5">
        <v>31.939622058007224</v>
      </c>
      <c r="D5">
        <v>21.491811650604134</v>
      </c>
      <c r="E5">
        <v>17.679711400465692</v>
      </c>
      <c r="F5">
        <v>138.68912473153497</v>
      </c>
      <c r="G5">
        <v>7.2629672423466172</v>
      </c>
      <c r="H5">
        <v>0.37235448355461076</v>
      </c>
      <c r="I5">
        <v>10.96825365236791</v>
      </c>
    </row>
    <row r="6" spans="1:9" x14ac:dyDescent="0.3">
      <c r="A6" s="2" t="s">
        <v>10</v>
      </c>
      <c r="B6">
        <v>3.3695780626988698</v>
      </c>
      <c r="C6">
        <v>31.972618195136221</v>
      </c>
      <c r="D6">
        <v>19.355807170644777</v>
      </c>
      <c r="E6">
        <v>15.952217567727637</v>
      </c>
      <c r="F6">
        <v>115.24400235133817</v>
      </c>
      <c r="G6">
        <v>7.8841603203755195</v>
      </c>
      <c r="H6">
        <v>0.3313285950127749</v>
      </c>
      <c r="I6">
        <v>11.760231540678683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0044-0336-4C56-AA5E-394FF2F02DCF}">
  <dimension ref="A1:T32"/>
  <sheetViews>
    <sheetView workbookViewId="0">
      <selection activeCell="M20" sqref="M20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0" x14ac:dyDescent="0.3">
      <c r="A2">
        <v>2</v>
      </c>
      <c r="B2">
        <v>197</v>
      </c>
      <c r="C2">
        <v>70</v>
      </c>
      <c r="D2">
        <v>45</v>
      </c>
      <c r="E2">
        <v>543</v>
      </c>
      <c r="F2">
        <v>30.5</v>
      </c>
      <c r="G2">
        <v>0.158</v>
      </c>
      <c r="H2">
        <v>53</v>
      </c>
      <c r="I2">
        <v>1</v>
      </c>
    </row>
    <row r="3" spans="1:20" x14ac:dyDescent="0.3">
      <c r="A3">
        <v>8</v>
      </c>
      <c r="B3">
        <v>125</v>
      </c>
      <c r="C3">
        <v>96</v>
      </c>
      <c r="D3">
        <v>0</v>
      </c>
      <c r="E3">
        <v>0</v>
      </c>
      <c r="F3">
        <v>0</v>
      </c>
      <c r="G3">
        <v>0.23200000000000001</v>
      </c>
      <c r="H3">
        <v>54</v>
      </c>
      <c r="I3">
        <v>1</v>
      </c>
    </row>
    <row r="4" spans="1:20" x14ac:dyDescent="0.3">
      <c r="A4">
        <v>4</v>
      </c>
      <c r="B4">
        <v>110</v>
      </c>
      <c r="C4">
        <v>92</v>
      </c>
      <c r="D4">
        <v>0</v>
      </c>
      <c r="E4">
        <v>0</v>
      </c>
      <c r="F4">
        <v>37.6</v>
      </c>
      <c r="G4">
        <v>0.191</v>
      </c>
      <c r="H4">
        <v>30</v>
      </c>
      <c r="I4">
        <v>0</v>
      </c>
    </row>
    <row r="5" spans="1:20" x14ac:dyDescent="0.3">
      <c r="A5">
        <v>10</v>
      </c>
      <c r="B5">
        <v>168</v>
      </c>
      <c r="C5">
        <v>74</v>
      </c>
      <c r="D5">
        <v>0</v>
      </c>
      <c r="E5">
        <v>0</v>
      </c>
      <c r="F5">
        <v>38</v>
      </c>
      <c r="G5">
        <v>0.53700000000000003</v>
      </c>
      <c r="H5">
        <v>34</v>
      </c>
      <c r="I5">
        <v>1</v>
      </c>
      <c r="L5" s="3" t="s">
        <v>9</v>
      </c>
      <c r="M5" s="3" t="s">
        <v>11</v>
      </c>
      <c r="N5" s="3" t="s">
        <v>12</v>
      </c>
      <c r="O5" s="3" t="s">
        <v>18</v>
      </c>
      <c r="P5" s="3" t="s">
        <v>17</v>
      </c>
      <c r="Q5" s="3" t="s">
        <v>16</v>
      </c>
      <c r="R5" s="3" t="s">
        <v>15</v>
      </c>
      <c r="S5" s="3" t="s">
        <v>14</v>
      </c>
      <c r="T5" s="3" t="s">
        <v>13</v>
      </c>
    </row>
    <row r="6" spans="1:20" x14ac:dyDescent="0.3">
      <c r="A6">
        <v>10</v>
      </c>
      <c r="B6">
        <v>139</v>
      </c>
      <c r="C6">
        <v>80</v>
      </c>
      <c r="D6">
        <v>0</v>
      </c>
      <c r="E6">
        <v>0</v>
      </c>
      <c r="F6">
        <v>27.1</v>
      </c>
      <c r="G6">
        <v>1.4410000000000001</v>
      </c>
      <c r="H6">
        <v>57</v>
      </c>
      <c r="I6">
        <v>0</v>
      </c>
      <c r="L6" s="2">
        <v>0</v>
      </c>
      <c r="M6">
        <v>3.298</v>
      </c>
      <c r="N6">
        <v>109.98</v>
      </c>
      <c r="O6">
        <v>68.183999999999997</v>
      </c>
      <c r="P6">
        <v>19.664000000000001</v>
      </c>
      <c r="Q6">
        <v>68.792000000000002</v>
      </c>
      <c r="R6">
        <v>30.304199999999959</v>
      </c>
      <c r="S6">
        <v>0.42973400000000017</v>
      </c>
      <c r="T6">
        <v>31.19</v>
      </c>
    </row>
    <row r="7" spans="1:20" x14ac:dyDescent="0.3">
      <c r="A7">
        <v>1</v>
      </c>
      <c r="B7">
        <v>189</v>
      </c>
      <c r="C7">
        <v>60</v>
      </c>
      <c r="D7">
        <v>23</v>
      </c>
      <c r="E7">
        <v>846</v>
      </c>
      <c r="F7">
        <v>30.1</v>
      </c>
      <c r="G7">
        <v>0.39800000000000002</v>
      </c>
      <c r="H7">
        <v>59</v>
      </c>
      <c r="I7">
        <v>1</v>
      </c>
      <c r="L7" s="2">
        <v>1</v>
      </c>
      <c r="M7">
        <v>4.8656716417910451</v>
      </c>
      <c r="N7">
        <v>141.25746268656715</v>
      </c>
      <c r="O7">
        <v>70.824626865671647</v>
      </c>
      <c r="P7">
        <v>22.164179104477611</v>
      </c>
      <c r="Q7">
        <v>100.33582089552239</v>
      </c>
      <c r="R7">
        <v>35.142537313432783</v>
      </c>
      <c r="S7">
        <v>0.55049999999999999</v>
      </c>
      <c r="T7">
        <v>37.067164179104481</v>
      </c>
    </row>
    <row r="8" spans="1:20" x14ac:dyDescent="0.3">
      <c r="A8">
        <v>5</v>
      </c>
      <c r="B8">
        <v>166</v>
      </c>
      <c r="C8">
        <v>72</v>
      </c>
      <c r="D8">
        <v>19</v>
      </c>
      <c r="E8">
        <v>175</v>
      </c>
      <c r="F8">
        <v>25.8</v>
      </c>
      <c r="G8">
        <v>0.58699999999999997</v>
      </c>
      <c r="H8">
        <v>51</v>
      </c>
      <c r="I8">
        <v>1</v>
      </c>
    </row>
    <row r="9" spans="1:20" x14ac:dyDescent="0.3">
      <c r="A9">
        <v>7</v>
      </c>
      <c r="B9">
        <v>100</v>
      </c>
      <c r="C9">
        <v>0</v>
      </c>
      <c r="D9">
        <v>0</v>
      </c>
      <c r="E9">
        <v>0</v>
      </c>
      <c r="F9">
        <v>30</v>
      </c>
      <c r="G9">
        <v>0.48399999999999999</v>
      </c>
      <c r="H9">
        <v>32</v>
      </c>
      <c r="I9">
        <v>1</v>
      </c>
      <c r="L9" s="3" t="s">
        <v>9</v>
      </c>
      <c r="M9" s="3" t="s">
        <v>19</v>
      </c>
      <c r="N9" s="3" t="s">
        <v>20</v>
      </c>
      <c r="O9" s="3" t="s">
        <v>21</v>
      </c>
      <c r="P9" s="3" t="s">
        <v>22</v>
      </c>
      <c r="Q9" s="3" t="s">
        <v>23</v>
      </c>
      <c r="R9" s="3" t="s">
        <v>24</v>
      </c>
      <c r="S9" s="3" t="s">
        <v>25</v>
      </c>
      <c r="T9" s="3" t="s">
        <v>26</v>
      </c>
    </row>
    <row r="10" spans="1:20" x14ac:dyDescent="0.3">
      <c r="A10">
        <v>0</v>
      </c>
      <c r="B10">
        <v>118</v>
      </c>
      <c r="C10">
        <v>84</v>
      </c>
      <c r="D10">
        <v>47</v>
      </c>
      <c r="E10">
        <v>230</v>
      </c>
      <c r="F10">
        <v>45.8</v>
      </c>
      <c r="G10">
        <v>0.55100000000000005</v>
      </c>
      <c r="H10">
        <v>31</v>
      </c>
      <c r="I10">
        <v>1</v>
      </c>
      <c r="L10" s="2">
        <v>0</v>
      </c>
      <c r="M10">
        <v>3.0171845826218893</v>
      </c>
      <c r="N10">
        <v>26.141199755353583</v>
      </c>
      <c r="O10">
        <v>18.063075413305839</v>
      </c>
      <c r="P10">
        <v>14.889947113744233</v>
      </c>
      <c r="Q10">
        <v>98.865289292317883</v>
      </c>
      <c r="R10">
        <v>7.689855011650284</v>
      </c>
      <c r="S10">
        <v>0.29908530435741093</v>
      </c>
      <c r="T10">
        <v>11.667654791631152</v>
      </c>
    </row>
    <row r="11" spans="1:20" x14ac:dyDescent="0.3">
      <c r="A11">
        <v>7</v>
      </c>
      <c r="B11">
        <v>107</v>
      </c>
      <c r="C11">
        <v>74</v>
      </c>
      <c r="D11">
        <v>0</v>
      </c>
      <c r="E11">
        <v>0</v>
      </c>
      <c r="F11">
        <v>29.6</v>
      </c>
      <c r="G11">
        <v>0.254</v>
      </c>
      <c r="H11">
        <v>31</v>
      </c>
      <c r="I11">
        <v>1</v>
      </c>
      <c r="L11" s="2">
        <v>1</v>
      </c>
      <c r="M11">
        <v>3.7412390440415546</v>
      </c>
      <c r="N11">
        <v>31.939622058007224</v>
      </c>
      <c r="O11">
        <v>21.491811650604134</v>
      </c>
      <c r="P11">
        <v>17.679711400465692</v>
      </c>
      <c r="Q11">
        <v>138.68912473153497</v>
      </c>
      <c r="R11">
        <v>7.2629672423466172</v>
      </c>
      <c r="S11">
        <v>0.37235448355461076</v>
      </c>
      <c r="T11">
        <v>10.96825365236791</v>
      </c>
    </row>
    <row r="12" spans="1:20" x14ac:dyDescent="0.3">
      <c r="A12">
        <v>1</v>
      </c>
      <c r="B12">
        <v>103</v>
      </c>
      <c r="C12">
        <v>30</v>
      </c>
      <c r="D12">
        <v>38</v>
      </c>
      <c r="E12">
        <v>83</v>
      </c>
      <c r="F12">
        <v>43.3</v>
      </c>
      <c r="G12">
        <v>0.183</v>
      </c>
      <c r="H12">
        <v>33</v>
      </c>
      <c r="I12">
        <v>0</v>
      </c>
    </row>
    <row r="13" spans="1:20" x14ac:dyDescent="0.3">
      <c r="A13">
        <v>1</v>
      </c>
      <c r="B13">
        <v>115</v>
      </c>
      <c r="C13">
        <v>70</v>
      </c>
      <c r="D13">
        <v>30</v>
      </c>
      <c r="E13">
        <v>96</v>
      </c>
      <c r="F13">
        <v>34.6</v>
      </c>
      <c r="G13">
        <v>0.52900000000000003</v>
      </c>
      <c r="H13">
        <v>32</v>
      </c>
      <c r="I13">
        <v>1</v>
      </c>
    </row>
    <row r="14" spans="1:20" x14ac:dyDescent="0.3">
      <c r="A14">
        <v>3</v>
      </c>
      <c r="B14">
        <v>126</v>
      </c>
      <c r="C14">
        <v>88</v>
      </c>
      <c r="D14">
        <v>41</v>
      </c>
      <c r="E14">
        <v>235</v>
      </c>
      <c r="F14">
        <v>39.299999999999997</v>
      </c>
      <c r="G14">
        <v>0.70399999999999996</v>
      </c>
      <c r="H14">
        <v>27</v>
      </c>
      <c r="I14">
        <v>0</v>
      </c>
    </row>
    <row r="15" spans="1:20" x14ac:dyDescent="0.3">
      <c r="A15">
        <v>8</v>
      </c>
      <c r="B15">
        <v>99</v>
      </c>
      <c r="C15">
        <v>84</v>
      </c>
      <c r="D15">
        <v>0</v>
      </c>
      <c r="E15">
        <v>0</v>
      </c>
      <c r="F15">
        <v>35.4</v>
      </c>
      <c r="G15">
        <v>0.38800000000000001</v>
      </c>
      <c r="H15">
        <v>50</v>
      </c>
      <c r="I15">
        <v>0</v>
      </c>
    </row>
    <row r="16" spans="1:20" x14ac:dyDescent="0.3">
      <c r="A16">
        <v>7</v>
      </c>
      <c r="B16">
        <v>196</v>
      </c>
      <c r="C16">
        <v>90</v>
      </c>
      <c r="D16">
        <v>0</v>
      </c>
      <c r="E16">
        <v>0</v>
      </c>
      <c r="F16">
        <v>39.799999999999997</v>
      </c>
      <c r="G16">
        <v>0.45100000000000001</v>
      </c>
      <c r="H16">
        <v>41</v>
      </c>
      <c r="I16">
        <v>1</v>
      </c>
    </row>
    <row r="17" spans="1:9" x14ac:dyDescent="0.3">
      <c r="A17">
        <v>9</v>
      </c>
      <c r="B17">
        <v>119</v>
      </c>
      <c r="C17">
        <v>80</v>
      </c>
      <c r="D17">
        <v>35</v>
      </c>
      <c r="E17">
        <v>0</v>
      </c>
      <c r="F17">
        <v>29</v>
      </c>
      <c r="G17">
        <v>0.26300000000000001</v>
      </c>
      <c r="H17">
        <v>29</v>
      </c>
      <c r="I17">
        <v>1</v>
      </c>
    </row>
    <row r="18" spans="1:9" x14ac:dyDescent="0.3">
      <c r="A18">
        <v>11</v>
      </c>
      <c r="B18">
        <v>143</v>
      </c>
      <c r="C18">
        <v>94</v>
      </c>
      <c r="D18">
        <v>33</v>
      </c>
      <c r="E18">
        <v>146</v>
      </c>
      <c r="F18">
        <v>36.6</v>
      </c>
      <c r="G18">
        <v>0.254</v>
      </c>
      <c r="H18">
        <v>51</v>
      </c>
      <c r="I18">
        <v>1</v>
      </c>
    </row>
    <row r="19" spans="1:9" x14ac:dyDescent="0.3">
      <c r="A19">
        <v>10</v>
      </c>
      <c r="B19">
        <v>125</v>
      </c>
      <c r="C19">
        <v>70</v>
      </c>
      <c r="D19">
        <v>26</v>
      </c>
      <c r="E19">
        <v>115</v>
      </c>
      <c r="F19">
        <v>31.1</v>
      </c>
      <c r="G19">
        <v>0.20499999999999999</v>
      </c>
      <c r="H19">
        <v>41</v>
      </c>
      <c r="I19">
        <v>1</v>
      </c>
    </row>
    <row r="20" spans="1:9" x14ac:dyDescent="0.3">
      <c r="A20">
        <v>7</v>
      </c>
      <c r="B20">
        <v>147</v>
      </c>
      <c r="C20">
        <v>76</v>
      </c>
      <c r="D20">
        <v>0</v>
      </c>
      <c r="E20">
        <v>0</v>
      </c>
      <c r="F20">
        <v>39.4</v>
      </c>
      <c r="G20">
        <v>0.25700000000000001</v>
      </c>
      <c r="H20">
        <v>43</v>
      </c>
      <c r="I20">
        <v>1</v>
      </c>
    </row>
    <row r="21" spans="1:9" x14ac:dyDescent="0.3">
      <c r="A21">
        <v>1</v>
      </c>
      <c r="B21">
        <v>97</v>
      </c>
      <c r="C21">
        <v>66</v>
      </c>
      <c r="D21">
        <v>15</v>
      </c>
      <c r="E21">
        <v>140</v>
      </c>
      <c r="F21">
        <v>23.2</v>
      </c>
      <c r="G21">
        <v>0.48699999999999999</v>
      </c>
      <c r="H21">
        <v>22</v>
      </c>
      <c r="I21">
        <v>0</v>
      </c>
    </row>
    <row r="22" spans="1:9" x14ac:dyDescent="0.3">
      <c r="A22">
        <v>13</v>
      </c>
      <c r="B22">
        <v>145</v>
      </c>
      <c r="C22">
        <v>82</v>
      </c>
      <c r="D22">
        <v>19</v>
      </c>
      <c r="E22">
        <v>110</v>
      </c>
      <c r="F22">
        <v>22.2</v>
      </c>
      <c r="G22">
        <v>0.245</v>
      </c>
      <c r="H22">
        <v>57</v>
      </c>
      <c r="I22">
        <v>0</v>
      </c>
    </row>
    <row r="23" spans="1:9" x14ac:dyDescent="0.3">
      <c r="A23">
        <v>5</v>
      </c>
      <c r="B23">
        <v>117</v>
      </c>
      <c r="C23">
        <v>92</v>
      </c>
      <c r="D23">
        <v>0</v>
      </c>
      <c r="E23">
        <v>0</v>
      </c>
      <c r="F23">
        <v>34.1</v>
      </c>
      <c r="G23">
        <v>0.33700000000000002</v>
      </c>
      <c r="H23">
        <v>38</v>
      </c>
      <c r="I23">
        <v>0</v>
      </c>
    </row>
    <row r="24" spans="1:9" x14ac:dyDescent="0.3">
      <c r="A24">
        <v>5</v>
      </c>
      <c r="B24">
        <v>109</v>
      </c>
      <c r="C24">
        <v>75</v>
      </c>
      <c r="D24">
        <v>26</v>
      </c>
      <c r="E24">
        <v>0</v>
      </c>
      <c r="F24">
        <v>36</v>
      </c>
      <c r="G24">
        <v>0.54600000000000004</v>
      </c>
      <c r="H24">
        <v>60</v>
      </c>
      <c r="I24">
        <v>0</v>
      </c>
    </row>
    <row r="25" spans="1:9" x14ac:dyDescent="0.3">
      <c r="A25">
        <v>3</v>
      </c>
      <c r="B25">
        <v>158</v>
      </c>
      <c r="C25">
        <v>76</v>
      </c>
      <c r="D25">
        <v>36</v>
      </c>
      <c r="E25">
        <v>245</v>
      </c>
      <c r="F25">
        <v>31.6</v>
      </c>
      <c r="G25">
        <v>0.85099999999999998</v>
      </c>
      <c r="H25">
        <v>28</v>
      </c>
      <c r="I25">
        <v>1</v>
      </c>
    </row>
    <row r="26" spans="1:9" x14ac:dyDescent="0.3">
      <c r="A26">
        <v>3</v>
      </c>
      <c r="B26">
        <v>88</v>
      </c>
      <c r="C26">
        <v>58</v>
      </c>
      <c r="D26">
        <v>11</v>
      </c>
      <c r="E26">
        <v>54</v>
      </c>
      <c r="F26">
        <v>24.8</v>
      </c>
      <c r="G26">
        <v>0.26700000000000002</v>
      </c>
      <c r="H26">
        <v>22</v>
      </c>
      <c r="I26">
        <v>0</v>
      </c>
    </row>
    <row r="27" spans="1:9" x14ac:dyDescent="0.3">
      <c r="A27">
        <v>6</v>
      </c>
      <c r="B27">
        <v>92</v>
      </c>
      <c r="C27">
        <v>92</v>
      </c>
      <c r="D27">
        <v>0</v>
      </c>
      <c r="E27">
        <v>0</v>
      </c>
      <c r="F27">
        <v>19.899999999999999</v>
      </c>
      <c r="G27">
        <v>0.188</v>
      </c>
      <c r="H27">
        <v>28</v>
      </c>
      <c r="I27">
        <v>0</v>
      </c>
    </row>
    <row r="28" spans="1:9" x14ac:dyDescent="0.3">
      <c r="A28">
        <v>10</v>
      </c>
      <c r="B28">
        <v>122</v>
      </c>
      <c r="C28">
        <v>78</v>
      </c>
      <c r="D28">
        <v>31</v>
      </c>
      <c r="E28">
        <v>0</v>
      </c>
      <c r="F28">
        <v>27.6</v>
      </c>
      <c r="G28">
        <v>0.51200000000000001</v>
      </c>
      <c r="H28">
        <v>45</v>
      </c>
      <c r="I28">
        <v>0</v>
      </c>
    </row>
    <row r="29" spans="1:9" x14ac:dyDescent="0.3">
      <c r="A29">
        <v>4</v>
      </c>
      <c r="B29">
        <v>103</v>
      </c>
      <c r="C29">
        <v>60</v>
      </c>
      <c r="D29">
        <v>33</v>
      </c>
      <c r="E29">
        <v>192</v>
      </c>
      <c r="F29">
        <v>24</v>
      </c>
      <c r="G29">
        <v>0.96599999999999997</v>
      </c>
      <c r="H29">
        <v>33</v>
      </c>
      <c r="I29">
        <v>0</v>
      </c>
    </row>
    <row r="30" spans="1:9" x14ac:dyDescent="0.3">
      <c r="A30">
        <v>11</v>
      </c>
      <c r="B30">
        <v>138</v>
      </c>
      <c r="C30">
        <v>76</v>
      </c>
      <c r="D30">
        <v>0</v>
      </c>
      <c r="E30">
        <v>0</v>
      </c>
      <c r="F30">
        <v>33.200000000000003</v>
      </c>
      <c r="G30">
        <v>0.42</v>
      </c>
      <c r="H30">
        <v>35</v>
      </c>
      <c r="I30">
        <v>0</v>
      </c>
    </row>
    <row r="31" spans="1:9" x14ac:dyDescent="0.3">
      <c r="A31">
        <v>9</v>
      </c>
      <c r="B31">
        <v>102</v>
      </c>
      <c r="C31">
        <v>76</v>
      </c>
      <c r="D31">
        <v>37</v>
      </c>
      <c r="E31">
        <v>0</v>
      </c>
      <c r="F31">
        <v>32.9</v>
      </c>
      <c r="G31">
        <v>0.66500000000000004</v>
      </c>
      <c r="H31">
        <v>46</v>
      </c>
      <c r="I31">
        <v>1</v>
      </c>
    </row>
    <row r="32" spans="1:9" x14ac:dyDescent="0.3">
      <c r="A32">
        <v>2</v>
      </c>
      <c r="B32">
        <v>90</v>
      </c>
      <c r="C32">
        <v>68</v>
      </c>
      <c r="D32">
        <v>42</v>
      </c>
      <c r="E32">
        <v>0</v>
      </c>
      <c r="F32">
        <v>38.200000000000003</v>
      </c>
      <c r="G32">
        <v>0.503</v>
      </c>
      <c r="H32">
        <v>27</v>
      </c>
      <c r="I32">
        <v>1</v>
      </c>
    </row>
  </sheetData>
  <autoFilter ref="A1:I32" xr:uid="{84000044-0336-4C56-AA5E-394FF2F02D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diabetes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</dc:creator>
  <cp:lastModifiedBy>Om Parekh</cp:lastModifiedBy>
  <dcterms:created xsi:type="dcterms:W3CDTF">2026-01-23T07:21:30Z</dcterms:created>
  <dcterms:modified xsi:type="dcterms:W3CDTF">2026-01-23T07:41:03Z</dcterms:modified>
</cp:coreProperties>
</file>