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A462E2E-D4FD-4411-81E8-8D2051626C91}" xr6:coauthVersionLast="47" xr6:coauthVersionMax="47" xr10:uidLastSave="{00000000-0000-0000-0000-000000000000}"/>
  <bookViews>
    <workbookView xWindow="-108" yWindow="-108" windowWidth="23256" windowHeight="12456" activeTab="1" xr2:uid="{6CD2E8FC-9CB3-4F29-9067-A9C414A88115}"/>
  </bookViews>
  <sheets>
    <sheet name="Sheet2" sheetId="2" r:id="rId1"/>
    <sheet name="Sheet1" sheetId="1" r:id="rId2"/>
  </sheets>
  <definedNames>
    <definedName name="solver_adj" localSheetId="1" hidden="1">Sheet1!$J$2:$J$3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Sheet1!$E$9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2" i="1"/>
  <c r="F3" i="1"/>
  <c r="F4" i="1"/>
  <c r="F5" i="1"/>
  <c r="F6" i="1"/>
  <c r="F7" i="1"/>
  <c r="F2" i="1"/>
  <c r="E14" i="1" l="1"/>
  <c r="E13" i="1"/>
  <c r="E12" i="1"/>
  <c r="H3" i="1"/>
  <c r="H4" i="1"/>
  <c r="H5" i="1"/>
  <c r="H6" i="1"/>
  <c r="H7" i="1"/>
  <c r="H2" i="1"/>
  <c r="C9" i="1"/>
  <c r="C3" i="1"/>
  <c r="D3" i="1" s="1"/>
  <c r="E3" i="1" s="1"/>
  <c r="C4" i="1"/>
  <c r="D4" i="1" s="1"/>
  <c r="E4" i="1" s="1"/>
  <c r="C5" i="1"/>
  <c r="D5" i="1" s="1"/>
  <c r="E5" i="1" s="1"/>
  <c r="C6" i="1"/>
  <c r="D6" i="1" s="1"/>
  <c r="E6" i="1" s="1"/>
  <c r="C7" i="1"/>
  <c r="D7" i="1" s="1"/>
  <c r="E7" i="1" s="1"/>
  <c r="C2" i="1"/>
  <c r="D2" i="1" s="1"/>
  <c r="G12" i="1" l="1"/>
  <c r="H12" i="1" s="1"/>
  <c r="E2" i="1"/>
  <c r="E9" i="1" s="1"/>
  <c r="I9" i="1" s="1"/>
</calcChain>
</file>

<file path=xl/sharedStrings.xml><?xml version="1.0" encoding="utf-8"?>
<sst xmlns="http://schemas.openxmlformats.org/spreadsheetml/2006/main" count="39" uniqueCount="35">
  <si>
    <t>income</t>
  </si>
  <si>
    <t>consumption</t>
  </si>
  <si>
    <t>apla</t>
  </si>
  <si>
    <t>beta</t>
  </si>
  <si>
    <t>Y hat</t>
  </si>
  <si>
    <t>Error(u)</t>
  </si>
  <si>
    <t>U square</t>
  </si>
  <si>
    <t>TSS</t>
  </si>
  <si>
    <t>ESS</t>
  </si>
  <si>
    <t>RSS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</si>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</sst>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consumption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120</c:v>
                </c:pt>
                <c:pt idx="3">
                  <c:v>140</c:v>
                </c:pt>
                <c:pt idx="4">
                  <c:v>200</c:v>
                </c:pt>
                <c:pt idx="5">
                  <c:v>300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80</c:v>
                </c:pt>
                <c:pt idx="1">
                  <c:v>45</c:v>
                </c:pt>
                <c:pt idx="2">
                  <c:v>110</c:v>
                </c:pt>
                <c:pt idx="3">
                  <c:v>120</c:v>
                </c:pt>
                <c:pt idx="4">
                  <c:v>210</c:v>
                </c:pt>
                <c:pt idx="5">
                  <c:v>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EC-4DD1-BBBD-EA0976F3DD8E}"/>
            </c:ext>
          </c:extLst>
        </c:ser>
        <c:ser>
          <c:idx val="1"/>
          <c:order val="1"/>
          <c:tx>
            <c:v>Yhat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Sheet1!$A$2:$A$7</c:f>
              <c:numCache>
                <c:formatCode>General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120</c:v>
                </c:pt>
                <c:pt idx="3">
                  <c:v>140</c:v>
                </c:pt>
                <c:pt idx="4">
                  <c:v>200</c:v>
                </c:pt>
                <c:pt idx="5">
                  <c:v>300</c:v>
                </c:pt>
              </c:numCache>
            </c:numRef>
          </c:xVal>
          <c:yVal>
            <c:numRef>
              <c:f>Sheet1!$C$2:$C$7</c:f>
              <c:numCache>
                <c:formatCode>General</c:formatCode>
                <c:ptCount val="6"/>
                <c:pt idx="0">
                  <c:v>59.876786597496071</c:v>
                </c:pt>
                <c:pt idx="1">
                  <c:v>68.66433360330781</c:v>
                </c:pt>
                <c:pt idx="2">
                  <c:v>112.60206863236654</c:v>
                </c:pt>
                <c:pt idx="3">
                  <c:v>130.17716264399004</c:v>
                </c:pt>
                <c:pt idx="4">
                  <c:v>182.90244467886052</c:v>
                </c:pt>
                <c:pt idx="5">
                  <c:v>270.77791473697795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EC-4DD1-BBBD-EA0976F3DD8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Sheet1!$A$9</c:f>
              <c:numCache>
                <c:formatCode>General</c:formatCode>
                <c:ptCount val="1"/>
                <c:pt idx="0">
                  <c:v>400</c:v>
                </c:pt>
              </c:numCache>
            </c:numRef>
          </c:xVal>
          <c:yVal>
            <c:numRef>
              <c:f>Sheet1!$C$9</c:f>
              <c:numCache>
                <c:formatCode>General</c:formatCode>
                <c:ptCount val="1"/>
                <c:pt idx="0">
                  <c:v>358.65338479509541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9EC-4DD1-BBBD-EA0976F3D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132175"/>
        <c:axId val="1698133135"/>
      </c:scatterChart>
      <c:valAx>
        <c:axId val="1698132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133135"/>
        <c:crosses val="autoZero"/>
        <c:crossBetween val="midCat"/>
      </c:valAx>
      <c:valAx>
        <c:axId val="169813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132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6</xdr:row>
      <xdr:rowOff>41910</xdr:rowOff>
    </xdr:from>
    <xdr:to>
      <xdr:col>18</xdr:col>
      <xdr:colOff>228600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DE79BB-4624-E794-F746-3A61E8D62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3C8D3-C162-4C2B-B604-516C8120E6DB}">
  <dimension ref="A1:I18"/>
  <sheetViews>
    <sheetView workbookViewId="0">
      <selection activeCell="K6" sqref="K6"/>
    </sheetView>
  </sheetViews>
  <sheetFormatPr defaultRowHeight="14.4" x14ac:dyDescent="0.3"/>
  <sheetData>
    <row r="1" spans="1:9" x14ac:dyDescent="0.3">
      <c r="A1" t="s">
        <v>10</v>
      </c>
    </row>
    <row r="2" spans="1:9" ht="15" thickBot="1" x14ac:dyDescent="0.35"/>
    <row r="3" spans="1:9" x14ac:dyDescent="0.3">
      <c r="A3" s="4" t="s">
        <v>11</v>
      </c>
      <c r="B3" s="4"/>
    </row>
    <row r="4" spans="1:9" x14ac:dyDescent="0.3">
      <c r="A4" s="1" t="s">
        <v>12</v>
      </c>
      <c r="B4" s="1">
        <v>0.9705535609057977</v>
      </c>
    </row>
    <row r="5" spans="1:9" x14ac:dyDescent="0.3">
      <c r="A5" s="1" t="s">
        <v>13</v>
      </c>
      <c r="B5" s="1">
        <v>0.94197421458692399</v>
      </c>
    </row>
    <row r="6" spans="1:9" x14ac:dyDescent="0.3">
      <c r="A6" s="1" t="s">
        <v>14</v>
      </c>
      <c r="B6" s="1">
        <v>0.92746776823365495</v>
      </c>
    </row>
    <row r="7" spans="1:9" x14ac:dyDescent="0.3">
      <c r="A7" s="1" t="s">
        <v>15</v>
      </c>
      <c r="B7" s="1">
        <v>21.941574427308424</v>
      </c>
    </row>
    <row r="8" spans="1:9" ht="15" thickBot="1" x14ac:dyDescent="0.35">
      <c r="A8" s="2" t="s">
        <v>16</v>
      </c>
      <c r="B8" s="2">
        <v>6</v>
      </c>
    </row>
    <row r="10" spans="1:9" ht="15" thickBot="1" x14ac:dyDescent="0.35">
      <c r="A10" t="s">
        <v>17</v>
      </c>
    </row>
    <row r="11" spans="1:9" x14ac:dyDescent="0.3">
      <c r="A11" s="3"/>
      <c r="B11" s="3" t="s">
        <v>22</v>
      </c>
      <c r="C11" s="3" t="s">
        <v>23</v>
      </c>
      <c r="D11" s="3" t="s">
        <v>24</v>
      </c>
      <c r="E11" s="3" t="s">
        <v>25</v>
      </c>
      <c r="F11" s="3" t="s">
        <v>26</v>
      </c>
    </row>
    <row r="12" spans="1:9" x14ac:dyDescent="0.3">
      <c r="A12" s="1" t="s">
        <v>18</v>
      </c>
      <c r="B12" s="1">
        <v>1</v>
      </c>
      <c r="C12" s="1">
        <v>31261.769246603541</v>
      </c>
      <c r="D12" s="1">
        <v>31261.769246603541</v>
      </c>
      <c r="E12" s="1">
        <v>64.934870446382746</v>
      </c>
      <c r="F12" s="1">
        <v>1.2878727656939794E-3</v>
      </c>
    </row>
    <row r="13" spans="1:9" x14ac:dyDescent="0.3">
      <c r="A13" s="1" t="s">
        <v>19</v>
      </c>
      <c r="B13" s="1">
        <v>4</v>
      </c>
      <c r="C13" s="1">
        <v>1925.7307533964599</v>
      </c>
      <c r="D13" s="1">
        <v>481.43268834911498</v>
      </c>
      <c r="E13" s="1"/>
      <c r="F13" s="1"/>
    </row>
    <row r="14" spans="1:9" ht="15" thickBot="1" x14ac:dyDescent="0.35">
      <c r="A14" s="2" t="s">
        <v>20</v>
      </c>
      <c r="B14" s="2">
        <v>5</v>
      </c>
      <c r="C14" s="2">
        <v>33187.5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27</v>
      </c>
      <c r="C16" s="3" t="s">
        <v>15</v>
      </c>
      <c r="D16" s="3" t="s">
        <v>28</v>
      </c>
      <c r="E16" s="3" t="s">
        <v>29</v>
      </c>
      <c r="F16" s="3" t="s">
        <v>30</v>
      </c>
      <c r="G16" s="3" t="s">
        <v>31</v>
      </c>
      <c r="H16" s="3" t="s">
        <v>32</v>
      </c>
      <c r="I16" s="3" t="s">
        <v>33</v>
      </c>
    </row>
    <row r="17" spans="1:9" x14ac:dyDescent="0.3">
      <c r="A17" s="1" t="s">
        <v>21</v>
      </c>
      <c r="B17" s="1">
        <v>7.151090983944016</v>
      </c>
      <c r="C17" s="1">
        <v>18.490496790324329</v>
      </c>
      <c r="D17" s="1">
        <v>0.38674412402407843</v>
      </c>
      <c r="E17" s="1">
        <v>0.71863910114811413</v>
      </c>
      <c r="F17" s="1">
        <v>-44.186758322227476</v>
      </c>
      <c r="G17" s="1">
        <v>58.488940290115508</v>
      </c>
      <c r="H17" s="1">
        <v>-44.186758322227476</v>
      </c>
      <c r="I17" s="1">
        <v>58.488940290115508</v>
      </c>
    </row>
    <row r="18" spans="1:9" ht="15" thickBot="1" x14ac:dyDescent="0.35">
      <c r="A18" s="2" t="s">
        <v>34</v>
      </c>
      <c r="B18" s="2">
        <v>0.87875668999588297</v>
      </c>
      <c r="C18" s="2">
        <v>0.10905100068165065</v>
      </c>
      <c r="D18" s="2">
        <v>8.0582175725393963</v>
      </c>
      <c r="E18" s="2">
        <v>1.2878727656939809E-3</v>
      </c>
      <c r="F18" s="2">
        <v>0.57598257293639277</v>
      </c>
      <c r="G18" s="2">
        <v>1.1815308070553732</v>
      </c>
      <c r="H18" s="2">
        <v>0.57598257293639277</v>
      </c>
      <c r="I18" s="2">
        <v>1.1815308070553732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CDA3-73FE-484F-ADF0-5FEC1D7290B6}">
  <dimension ref="A1:J14"/>
  <sheetViews>
    <sheetView tabSelected="1" workbookViewId="0">
      <selection activeCell="G20" sqref="G20"/>
    </sheetView>
  </sheetViews>
  <sheetFormatPr defaultRowHeight="14.4" x14ac:dyDescent="0.3"/>
  <cols>
    <col min="2" max="2" width="11.77734375" customWidth="1"/>
  </cols>
  <sheetData>
    <row r="1" spans="1:10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10" x14ac:dyDescent="0.3">
      <c r="A2">
        <v>60</v>
      </c>
      <c r="B2">
        <v>80</v>
      </c>
      <c r="C2">
        <f>$J$2+$J$3*A2</f>
        <v>59.876786597496071</v>
      </c>
      <c r="D2">
        <f>B2-C2</f>
        <v>20.123213402503929</v>
      </c>
      <c r="E2">
        <f>D2*D2</f>
        <v>404.94371764271375</v>
      </c>
      <c r="F2">
        <f>(B2-$B$10)*(B2-$B$10)</f>
        <v>3306.25</v>
      </c>
      <c r="G2">
        <f>(C2-$B$10)*(C2-$B$10)</f>
        <v>6025.3632589306644</v>
      </c>
      <c r="H2">
        <f>(B2-C2)*(B2-C2)</f>
        <v>404.94371764271375</v>
      </c>
      <c r="I2" t="s">
        <v>2</v>
      </c>
      <c r="J2">
        <v>7.1515045626255942</v>
      </c>
    </row>
    <row r="3" spans="1:10" x14ac:dyDescent="0.3">
      <c r="A3">
        <v>70</v>
      </c>
      <c r="B3">
        <v>45</v>
      </c>
      <c r="C3">
        <f>$J$2+$J$3*A3</f>
        <v>68.66433360330781</v>
      </c>
      <c r="D3">
        <f t="shared" ref="D3:D7" si="0">B3-C3</f>
        <v>-23.66433360330781</v>
      </c>
      <c r="E3">
        <f t="shared" ref="E3:E7" si="1">D3*D3</f>
        <v>560.00068488864315</v>
      </c>
      <c r="F3">
        <f t="shared" ref="F3:F7" si="2">(B3-$B$10)*(B3-$B$10)</f>
        <v>8556.25</v>
      </c>
      <c r="G3">
        <f t="shared" ref="G3:G7" si="3">(C3-$B$10)*(C3-$B$10)</f>
        <v>4738.3489682766985</v>
      </c>
      <c r="H3">
        <f t="shared" ref="H3:H7" si="4">(B3-C3)*(B3-C3)</f>
        <v>560.00068488864315</v>
      </c>
      <c r="I3" t="s">
        <v>3</v>
      </c>
      <c r="J3">
        <v>0.87875470058117455</v>
      </c>
    </row>
    <row r="4" spans="1:10" x14ac:dyDescent="0.3">
      <c r="A4">
        <v>120</v>
      </c>
      <c r="B4">
        <v>110</v>
      </c>
      <c r="C4">
        <f>$J$2+$J$3*A4</f>
        <v>112.60206863236654</v>
      </c>
      <c r="D4">
        <f t="shared" si="0"/>
        <v>-2.6020686323665387</v>
      </c>
      <c r="E4">
        <f t="shared" si="1"/>
        <v>6.770761167545869</v>
      </c>
      <c r="F4">
        <f t="shared" si="2"/>
        <v>756.25</v>
      </c>
      <c r="G4">
        <f t="shared" si="3"/>
        <v>619.90698638738627</v>
      </c>
      <c r="H4">
        <f t="shared" si="4"/>
        <v>6.770761167545869</v>
      </c>
    </row>
    <row r="5" spans="1:10" x14ac:dyDescent="0.3">
      <c r="A5">
        <v>140</v>
      </c>
      <c r="B5">
        <v>120</v>
      </c>
      <c r="C5">
        <f>$J$2+$J$3*A5</f>
        <v>130.17716264399004</v>
      </c>
      <c r="D5">
        <f t="shared" si="0"/>
        <v>-10.177162643990044</v>
      </c>
      <c r="E5">
        <f t="shared" si="1"/>
        <v>103.57463948222643</v>
      </c>
      <c r="F5">
        <f t="shared" si="2"/>
        <v>306.25</v>
      </c>
      <c r="G5">
        <f t="shared" si="3"/>
        <v>53.623946942574875</v>
      </c>
      <c r="H5">
        <f t="shared" si="4"/>
        <v>103.57463948222643</v>
      </c>
    </row>
    <row r="6" spans="1:10" x14ac:dyDescent="0.3">
      <c r="A6">
        <v>200</v>
      </c>
      <c r="B6">
        <v>210</v>
      </c>
      <c r="C6">
        <f>$J$2+$J$3*A6</f>
        <v>182.90244467886052</v>
      </c>
      <c r="D6">
        <f t="shared" si="0"/>
        <v>27.097555321139481</v>
      </c>
      <c r="E6">
        <f t="shared" si="1"/>
        <v>734.2775043822146</v>
      </c>
      <c r="F6">
        <f t="shared" si="2"/>
        <v>5256.25</v>
      </c>
      <c r="G6">
        <f t="shared" si="3"/>
        <v>2061.3819828169899</v>
      </c>
      <c r="H6">
        <f t="shared" si="4"/>
        <v>734.2775043822146</v>
      </c>
    </row>
    <row r="7" spans="1:10" x14ac:dyDescent="0.3">
      <c r="A7">
        <v>300</v>
      </c>
      <c r="B7">
        <v>260</v>
      </c>
      <c r="C7">
        <f>$J$2+$J$3*A7</f>
        <v>270.77791473697795</v>
      </c>
      <c r="D7">
        <f t="shared" si="0"/>
        <v>-10.777914736977948</v>
      </c>
      <c r="E7">
        <f t="shared" si="1"/>
        <v>116.16344607756643</v>
      </c>
      <c r="F7">
        <f t="shared" si="2"/>
        <v>15006.25</v>
      </c>
      <c r="G7">
        <f t="shared" si="3"/>
        <v>17763.002556637162</v>
      </c>
      <c r="H7">
        <f t="shared" si="4"/>
        <v>116.16344607756643</v>
      </c>
    </row>
    <row r="9" spans="1:10" x14ac:dyDescent="0.3">
      <c r="A9">
        <v>400</v>
      </c>
      <c r="C9">
        <f>$J$2+$J$3*A9</f>
        <v>358.65338479509541</v>
      </c>
      <c r="E9">
        <f>SUM(E2:E7)</f>
        <v>1925.7307536409103</v>
      </c>
      <c r="I9">
        <f>SQRT(E9)</f>
        <v>43.883148857402091</v>
      </c>
    </row>
    <row r="10" spans="1:10" x14ac:dyDescent="0.3">
      <c r="B10">
        <v>137.5</v>
      </c>
    </row>
    <row r="12" spans="1:10" x14ac:dyDescent="0.3">
      <c r="D12" t="s">
        <v>7</v>
      </c>
      <c r="E12">
        <f>SUM(F2:F7)</f>
        <v>33187.5</v>
      </c>
      <c r="G12">
        <f>E13/E12</f>
        <v>0.94196994952893343</v>
      </c>
      <c r="H12">
        <f>SQRT(G12)</f>
        <v>0.97055136367372818</v>
      </c>
    </row>
    <row r="13" spans="1:10" x14ac:dyDescent="0.3">
      <c r="D13" t="s">
        <v>8</v>
      </c>
      <c r="E13">
        <f>SUM(G2:G7)</f>
        <v>31261.627699991477</v>
      </c>
    </row>
    <row r="14" spans="1:10" x14ac:dyDescent="0.3">
      <c r="D14" t="s">
        <v>9</v>
      </c>
      <c r="E14">
        <f>SUM(H2:H7)</f>
        <v>1925.7307536409103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Shah</dc:creator>
  <cp:lastModifiedBy>Dhanesh Shah</cp:lastModifiedBy>
  <dcterms:created xsi:type="dcterms:W3CDTF">2026-03-20T06:38:08Z</dcterms:created>
  <dcterms:modified xsi:type="dcterms:W3CDTF">2026-03-20T07:33:39Z</dcterms:modified>
</cp:coreProperties>
</file>